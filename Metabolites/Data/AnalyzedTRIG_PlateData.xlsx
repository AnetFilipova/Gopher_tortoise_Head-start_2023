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iam\Box\TS_Lab_GopherTortoises\Data_Analysis\gopher\Metabolomics\"/>
    </mc:Choice>
  </mc:AlternateContent>
  <xr:revisionPtr revIDLastSave="0" documentId="13_ncr:1_{B18A79B8-FBB0-4994-81C1-94840F124E1D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Plate5_Analysis_11_29" sheetId="25" r:id="rId1"/>
    <sheet name="Plate5_RawData_11_29" sheetId="24" r:id="rId2"/>
    <sheet name="Plate4_Analysis_11_29" sheetId="23" r:id="rId3"/>
    <sheet name="Plate4_RawData_11_29" sheetId="22" r:id="rId4"/>
    <sheet name="Plate3_Analysis_11_29" sheetId="21" r:id="rId5"/>
    <sheet name="Plate3_RawData_11_29" sheetId="20" r:id="rId6"/>
    <sheet name="Plate2_Analysis_11_27 " sheetId="19" r:id="rId7"/>
    <sheet name="Plate2_RawData_11_27" sheetId="18" r:id="rId8"/>
    <sheet name="Plate1_Analysis_11_27" sheetId="17" r:id="rId9"/>
    <sheet name="Plate1_RawData_11_27" sheetId="16" r:id="rId10"/>
    <sheet name="TRIG_11_07_24_RawData" sheetId="14" r:id="rId11"/>
    <sheet name="TRIG_11_07_24_Analysis " sheetId="15" r:id="rId12"/>
    <sheet name="TRIG_10_24_24_RawData" sheetId="12" r:id="rId13"/>
    <sheet name="TRIG_10_24_24_Analysis" sheetId="13" r:id="rId14"/>
    <sheet name="TRIG_10_10_24_Analysis" sheetId="10" r:id="rId15"/>
    <sheet name="TRIG_10_10_24_RawData" sheetId="9" r:id="rId16"/>
  </sheets>
  <definedNames>
    <definedName name="_xlnm._FilterDatabase" localSheetId="8" hidden="1">Plate1_Analysis_11_27!$E$12:$E$84</definedName>
    <definedName name="_xlnm._FilterDatabase" localSheetId="6" hidden="1">'Plate2_Analysis_11_27 '!$E$12:$E$84</definedName>
    <definedName name="_xlnm._FilterDatabase" localSheetId="4" hidden="1">Plate3_Analysis_11_29!$E$12:$E$84</definedName>
    <definedName name="_xlnm._FilterDatabase" localSheetId="2" hidden="1">Plate4_Analysis_11_29!$E$12:$E$86</definedName>
    <definedName name="_xlnm._FilterDatabase" localSheetId="0" hidden="1">Plate5_Analysis_11_29!$E$12:$E$54</definedName>
    <definedName name="_xlnm._FilterDatabase" localSheetId="14" hidden="1">TRIG_10_10_24_Analysis!$E$12:$E$84</definedName>
    <definedName name="_xlnm._FilterDatabase" localSheetId="13" hidden="1">TRIG_10_24_24_Analysis!$E$12:$E$84</definedName>
    <definedName name="_xlnm._FilterDatabase" localSheetId="11" hidden="1">'TRIG_11_07_24_Analysis '!$E$12:$E$84</definedName>
    <definedName name="MethodPointer" localSheetId="8">166869040</definedName>
    <definedName name="MethodPointer" localSheetId="9">168934704</definedName>
    <definedName name="MethodPointer" localSheetId="6">166869040</definedName>
    <definedName name="MethodPointer" localSheetId="7">172016408</definedName>
    <definedName name="MethodPointer" localSheetId="4">166869040</definedName>
    <definedName name="MethodPointer" localSheetId="5">171201064</definedName>
    <definedName name="MethodPointer" localSheetId="2">166869040</definedName>
    <definedName name="MethodPointer" localSheetId="3">168882816</definedName>
    <definedName name="MethodPointer" localSheetId="0">166869040</definedName>
    <definedName name="MethodPointer" localSheetId="1">159441416</definedName>
    <definedName name="MethodPointer" localSheetId="14">166869040</definedName>
    <definedName name="MethodPointer" localSheetId="13">166869040</definedName>
    <definedName name="MethodPointer" localSheetId="12">11486024</definedName>
    <definedName name="MethodPointer" localSheetId="11">166869040</definedName>
    <definedName name="MethodPointer" localSheetId="10">42203784</definedName>
    <definedName name="MethodPointer">159003584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3" l="1"/>
  <c r="G18" i="13"/>
  <c r="F12" i="10"/>
  <c r="F10" i="10"/>
  <c r="F8" i="10"/>
  <c r="F6" i="10"/>
  <c r="F4" i="10"/>
  <c r="D35" i="10"/>
  <c r="E35" i="10"/>
  <c r="E33" i="10"/>
  <c r="E31" i="10"/>
  <c r="E29" i="10"/>
  <c r="E27" i="10"/>
  <c r="E25" i="10"/>
  <c r="E23" i="10"/>
  <c r="E21" i="10"/>
  <c r="E19" i="10"/>
  <c r="E17" i="10"/>
  <c r="F23" i="19"/>
  <c r="B3" i="19"/>
  <c r="B2" i="19"/>
  <c r="B15" i="19"/>
  <c r="B14" i="19"/>
  <c r="B13" i="19"/>
  <c r="B12" i="19"/>
  <c r="B11" i="19"/>
  <c r="B10" i="19"/>
  <c r="B9" i="19"/>
  <c r="B8" i="19"/>
  <c r="B7" i="19"/>
  <c r="B6" i="19"/>
  <c r="B5" i="19"/>
  <c r="B4" i="19"/>
  <c r="B54" i="25" l="1"/>
  <c r="B53" i="25"/>
  <c r="C53" i="25" s="1"/>
  <c r="B52" i="25"/>
  <c r="B51" i="25"/>
  <c r="C51" i="25" s="1"/>
  <c r="B50" i="25"/>
  <c r="B49" i="25"/>
  <c r="B48" i="25"/>
  <c r="B47" i="25"/>
  <c r="B46" i="25"/>
  <c r="B45" i="25"/>
  <c r="C45" i="25" s="1"/>
  <c r="B44" i="25"/>
  <c r="B43" i="25"/>
  <c r="C43" i="25" s="1"/>
  <c r="B42" i="25"/>
  <c r="B41" i="25"/>
  <c r="C41" i="25" s="1"/>
  <c r="B40" i="25"/>
  <c r="B39" i="25"/>
  <c r="C39" i="25" s="1"/>
  <c r="B38" i="25"/>
  <c r="C37" i="25" s="1"/>
  <c r="B37" i="25"/>
  <c r="B36" i="25"/>
  <c r="B35" i="25"/>
  <c r="B34" i="25"/>
  <c r="B33" i="25"/>
  <c r="C33" i="25" s="1"/>
  <c r="B32" i="25"/>
  <c r="B31" i="25"/>
  <c r="C31" i="25" s="1"/>
  <c r="B30" i="25"/>
  <c r="B29" i="25"/>
  <c r="C29" i="25" s="1"/>
  <c r="B28" i="25"/>
  <c r="B27" i="25"/>
  <c r="C27" i="25" s="1"/>
  <c r="B26" i="25"/>
  <c r="B25" i="25"/>
  <c r="B24" i="25"/>
  <c r="B23" i="25"/>
  <c r="C23" i="25" s="1"/>
  <c r="B22" i="25"/>
  <c r="B21" i="25"/>
  <c r="C21" i="25" s="1"/>
  <c r="B15" i="25"/>
  <c r="B14" i="25"/>
  <c r="C14" i="25" s="1"/>
  <c r="B13" i="25"/>
  <c r="B12" i="25"/>
  <c r="C12" i="25" s="1"/>
  <c r="B11" i="25"/>
  <c r="B10" i="25"/>
  <c r="C10" i="25" s="1"/>
  <c r="B9" i="25"/>
  <c r="B8" i="25"/>
  <c r="B7" i="25"/>
  <c r="B6" i="25"/>
  <c r="C6" i="25" s="1"/>
  <c r="B5" i="25"/>
  <c r="B4" i="25"/>
  <c r="B3" i="25"/>
  <c r="B2" i="25"/>
  <c r="C2" i="25" s="1"/>
  <c r="C49" i="25"/>
  <c r="C47" i="25"/>
  <c r="C35" i="25"/>
  <c r="C25" i="25"/>
  <c r="F2" i="23"/>
  <c r="C75" i="23"/>
  <c r="E75" i="23" s="1"/>
  <c r="F75" i="23" s="1"/>
  <c r="B102" i="23"/>
  <c r="B101" i="23"/>
  <c r="B100" i="23"/>
  <c r="B99" i="23"/>
  <c r="B98" i="23"/>
  <c r="B97" i="23"/>
  <c r="C97" i="23" s="1"/>
  <c r="B96" i="23"/>
  <c r="B95" i="23"/>
  <c r="B94" i="23"/>
  <c r="B93" i="23"/>
  <c r="C93" i="23" s="1"/>
  <c r="E93" i="23" s="1"/>
  <c r="F93" i="23" s="1"/>
  <c r="B92" i="23"/>
  <c r="B91" i="23"/>
  <c r="B90" i="23"/>
  <c r="B89" i="23"/>
  <c r="C89" i="23" s="1"/>
  <c r="B88" i="23"/>
  <c r="B87" i="23"/>
  <c r="B86" i="23"/>
  <c r="B85" i="23"/>
  <c r="C85" i="23" s="1"/>
  <c r="B84" i="23"/>
  <c r="B83" i="23"/>
  <c r="B82" i="23"/>
  <c r="B81" i="23"/>
  <c r="C81" i="23" s="1"/>
  <c r="E81" i="23" s="1"/>
  <c r="F81" i="23" s="1"/>
  <c r="B80" i="23"/>
  <c r="B79" i="23"/>
  <c r="B78" i="23"/>
  <c r="B77" i="23"/>
  <c r="B76" i="23"/>
  <c r="B75" i="23"/>
  <c r="B74" i="23"/>
  <c r="B73" i="23"/>
  <c r="B72" i="23"/>
  <c r="B71" i="23"/>
  <c r="C71" i="23" s="1"/>
  <c r="E71" i="23" s="1"/>
  <c r="F71" i="23" s="1"/>
  <c r="B70" i="23"/>
  <c r="B69" i="23"/>
  <c r="B68" i="23"/>
  <c r="B67" i="23"/>
  <c r="C67" i="23" s="1"/>
  <c r="E67" i="23" s="1"/>
  <c r="F67" i="23" s="1"/>
  <c r="B66" i="23"/>
  <c r="B65" i="23"/>
  <c r="B64" i="23"/>
  <c r="B63" i="23"/>
  <c r="C63" i="23" s="1"/>
  <c r="E63" i="23" s="1"/>
  <c r="F63" i="23" s="1"/>
  <c r="B62" i="23"/>
  <c r="B61" i="23"/>
  <c r="B60" i="23"/>
  <c r="B59" i="23"/>
  <c r="C59" i="23" s="1"/>
  <c r="B58" i="23"/>
  <c r="B57" i="23"/>
  <c r="B56" i="23"/>
  <c r="B55" i="23"/>
  <c r="C55" i="23" s="1"/>
  <c r="E55" i="23" s="1"/>
  <c r="F55" i="23" s="1"/>
  <c r="B54" i="23"/>
  <c r="B53" i="23"/>
  <c r="B52" i="23"/>
  <c r="B51" i="23"/>
  <c r="B50" i="23"/>
  <c r="B49" i="23"/>
  <c r="B48" i="23"/>
  <c r="B47" i="23"/>
  <c r="C47" i="23" s="1"/>
  <c r="B46" i="23"/>
  <c r="B45" i="23"/>
  <c r="B44" i="23"/>
  <c r="B43" i="23"/>
  <c r="C43" i="23" s="1"/>
  <c r="E43" i="23" s="1"/>
  <c r="F43" i="23" s="1"/>
  <c r="B42" i="23"/>
  <c r="B41" i="23"/>
  <c r="B40" i="23"/>
  <c r="B39" i="23"/>
  <c r="B38" i="23"/>
  <c r="B37" i="23"/>
  <c r="B36" i="23"/>
  <c r="B35" i="23"/>
  <c r="C35" i="23" s="1"/>
  <c r="B34" i="23"/>
  <c r="B33" i="23"/>
  <c r="B32" i="23"/>
  <c r="B31" i="23"/>
  <c r="C31" i="23" s="1"/>
  <c r="E31" i="23" s="1"/>
  <c r="F31" i="23" s="1"/>
  <c r="B30" i="23"/>
  <c r="B29" i="23"/>
  <c r="B28" i="23"/>
  <c r="B27" i="23"/>
  <c r="C27" i="23" s="1"/>
  <c r="B26" i="23"/>
  <c r="B25" i="23"/>
  <c r="B24" i="23"/>
  <c r="B23" i="23"/>
  <c r="B22" i="23"/>
  <c r="C23" i="23"/>
  <c r="E23" i="23" s="1"/>
  <c r="F23" i="23" s="1"/>
  <c r="C39" i="23"/>
  <c r="E39" i="23" s="1"/>
  <c r="F39" i="23" s="1"/>
  <c r="C77" i="23"/>
  <c r="B21" i="23"/>
  <c r="B102" i="21"/>
  <c r="B101" i="21"/>
  <c r="B100" i="21"/>
  <c r="B99" i="21"/>
  <c r="C99" i="21" s="1"/>
  <c r="B98" i="21"/>
  <c r="B97" i="21"/>
  <c r="C97" i="21" s="1"/>
  <c r="B96" i="21"/>
  <c r="B95" i="21"/>
  <c r="C95" i="21" s="1"/>
  <c r="D95" i="21" s="1"/>
  <c r="B94" i="21"/>
  <c r="B93" i="21"/>
  <c r="C93" i="21" s="1"/>
  <c r="B92" i="21"/>
  <c r="B91" i="21"/>
  <c r="C91" i="21" s="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C77" i="21" s="1"/>
  <c r="B76" i="21"/>
  <c r="B75" i="21"/>
  <c r="B74" i="21"/>
  <c r="B73" i="21"/>
  <c r="C73" i="21" s="1"/>
  <c r="B72" i="21"/>
  <c r="B71" i="21"/>
  <c r="C71" i="21" s="1"/>
  <c r="B70" i="21"/>
  <c r="B69" i="21"/>
  <c r="B68" i="21"/>
  <c r="B67" i="21"/>
  <c r="C67" i="21" s="1"/>
  <c r="B66" i="21"/>
  <c r="B65" i="21"/>
  <c r="B64" i="21"/>
  <c r="B63" i="21"/>
  <c r="B62" i="21"/>
  <c r="B61" i="21"/>
  <c r="B60" i="21"/>
  <c r="B59" i="21"/>
  <c r="C59" i="21" s="1"/>
  <c r="D59" i="21" s="1"/>
  <c r="B58" i="21"/>
  <c r="B57" i="21"/>
  <c r="C57" i="21" s="1"/>
  <c r="B56" i="21"/>
  <c r="B55" i="21"/>
  <c r="C55" i="21" s="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C41" i="21" s="1"/>
  <c r="B40" i="21"/>
  <c r="B39" i="21"/>
  <c r="C39" i="21" s="1"/>
  <c r="B38" i="21"/>
  <c r="B37" i="21"/>
  <c r="C37" i="21" s="1"/>
  <c r="B36" i="21"/>
  <c r="B35" i="21"/>
  <c r="C35" i="21" s="1"/>
  <c r="D35" i="21" s="1"/>
  <c r="B34" i="21"/>
  <c r="B33" i="21"/>
  <c r="C33" i="21" s="1"/>
  <c r="B32" i="21"/>
  <c r="B31" i="21"/>
  <c r="B30" i="21"/>
  <c r="B29" i="21"/>
  <c r="B28" i="21"/>
  <c r="B27" i="21"/>
  <c r="B26" i="21"/>
  <c r="B25" i="21"/>
  <c r="B24" i="21"/>
  <c r="B23" i="21"/>
  <c r="B22" i="21"/>
  <c r="B21" i="21"/>
  <c r="C21" i="21" s="1"/>
  <c r="B4" i="21"/>
  <c r="B3" i="21"/>
  <c r="B15" i="23"/>
  <c r="B14" i="23"/>
  <c r="C14" i="23" s="1"/>
  <c r="B13" i="23"/>
  <c r="B12" i="23"/>
  <c r="C12" i="23" s="1"/>
  <c r="B11" i="23"/>
  <c r="B10" i="23"/>
  <c r="C10" i="23" s="1"/>
  <c r="B9" i="23"/>
  <c r="B8" i="23"/>
  <c r="C8" i="23" s="1"/>
  <c r="B7" i="23"/>
  <c r="B6" i="23"/>
  <c r="C6" i="23" s="1"/>
  <c r="B5" i="23"/>
  <c r="B4" i="23"/>
  <c r="B3" i="23"/>
  <c r="B2" i="23"/>
  <c r="C2" i="23" s="1"/>
  <c r="B5" i="21"/>
  <c r="B15" i="21"/>
  <c r="B14" i="21"/>
  <c r="B13" i="21"/>
  <c r="B12" i="21"/>
  <c r="B11" i="21"/>
  <c r="B10" i="21"/>
  <c r="B9" i="21"/>
  <c r="B8" i="21"/>
  <c r="C8" i="21" s="1"/>
  <c r="D8" i="21" s="1"/>
  <c r="B7" i="21"/>
  <c r="B6" i="21"/>
  <c r="C6" i="21" s="1"/>
  <c r="B2" i="21"/>
  <c r="C2" i="19"/>
  <c r="C101" i="21"/>
  <c r="C89" i="21"/>
  <c r="C85" i="21"/>
  <c r="C83" i="21"/>
  <c r="C81" i="21"/>
  <c r="C79" i="21"/>
  <c r="C65" i="21"/>
  <c r="C61" i="21"/>
  <c r="C53" i="21"/>
  <c r="C51" i="21"/>
  <c r="D51" i="21" s="1"/>
  <c r="C43" i="21"/>
  <c r="C29" i="21"/>
  <c r="C27" i="21"/>
  <c r="C23" i="21"/>
  <c r="C14" i="21"/>
  <c r="C2" i="21"/>
  <c r="C6" i="19"/>
  <c r="D33" i="19"/>
  <c r="B102" i="19"/>
  <c r="B101" i="19"/>
  <c r="B100" i="19"/>
  <c r="B99" i="19"/>
  <c r="C99" i="19" s="1"/>
  <c r="B98" i="19"/>
  <c r="B97" i="19"/>
  <c r="C97" i="19" s="1"/>
  <c r="B96" i="19"/>
  <c r="B95" i="19"/>
  <c r="C95" i="19" s="1"/>
  <c r="B94" i="19"/>
  <c r="B93" i="19"/>
  <c r="C93" i="19" s="1"/>
  <c r="B92" i="19"/>
  <c r="B91" i="19"/>
  <c r="C91" i="19" s="1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C75" i="19" s="1"/>
  <c r="B74" i="19"/>
  <c r="B73" i="19"/>
  <c r="C73" i="19" s="1"/>
  <c r="B72" i="19"/>
  <c r="B71" i="19"/>
  <c r="C71" i="19" s="1"/>
  <c r="B70" i="19"/>
  <c r="B69" i="19"/>
  <c r="C69" i="19" s="1"/>
  <c r="B68" i="19"/>
  <c r="B67" i="19"/>
  <c r="C67" i="19" s="1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C51" i="19" s="1"/>
  <c r="B50" i="19"/>
  <c r="B49" i="19"/>
  <c r="C49" i="19" s="1"/>
  <c r="B48" i="19"/>
  <c r="B47" i="19"/>
  <c r="C47" i="19" s="1"/>
  <c r="B46" i="19"/>
  <c r="B45" i="19"/>
  <c r="C45" i="19" s="1"/>
  <c r="B44" i="19"/>
  <c r="B43" i="19"/>
  <c r="C43" i="19" s="1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C27" i="19" s="1"/>
  <c r="B26" i="19"/>
  <c r="B25" i="19"/>
  <c r="C25" i="19" s="1"/>
  <c r="B24" i="19"/>
  <c r="B23" i="19"/>
  <c r="C23" i="19" s="1"/>
  <c r="B22" i="19"/>
  <c r="C21" i="19" s="1"/>
  <c r="B21" i="19"/>
  <c r="C14" i="19"/>
  <c r="C12" i="19"/>
  <c r="C10" i="19"/>
  <c r="C8" i="19"/>
  <c r="C101" i="19"/>
  <c r="C89" i="19"/>
  <c r="C87" i="19"/>
  <c r="C85" i="19"/>
  <c r="C83" i="19"/>
  <c r="C81" i="19"/>
  <c r="C79" i="19"/>
  <c r="C77" i="19"/>
  <c r="C65" i="19"/>
  <c r="C63" i="19"/>
  <c r="C61" i="19"/>
  <c r="C59" i="19"/>
  <c r="C57" i="19"/>
  <c r="C55" i="19"/>
  <c r="C53" i="19"/>
  <c r="C41" i="19"/>
  <c r="C39" i="19"/>
  <c r="C37" i="19"/>
  <c r="C35" i="19"/>
  <c r="C33" i="19"/>
  <c r="C31" i="19"/>
  <c r="C29" i="19"/>
  <c r="B39" i="17"/>
  <c r="C39" i="17"/>
  <c r="D39" i="17"/>
  <c r="E39" i="17"/>
  <c r="F39" i="17" s="1"/>
  <c r="B40" i="17"/>
  <c r="B41" i="17"/>
  <c r="C41" i="17"/>
  <c r="E41" i="17" s="1"/>
  <c r="F41" i="17" s="1"/>
  <c r="B42" i="17"/>
  <c r="D41" i="17" s="1"/>
  <c r="B43" i="17"/>
  <c r="C43" i="17"/>
  <c r="D43" i="17"/>
  <c r="E43" i="17"/>
  <c r="F43" i="17" s="1"/>
  <c r="B44" i="17"/>
  <c r="B45" i="17"/>
  <c r="B46" i="17"/>
  <c r="C45" i="17" s="1"/>
  <c r="E45" i="17" s="1"/>
  <c r="F45" i="17" s="1"/>
  <c r="B102" i="17"/>
  <c r="B101" i="17"/>
  <c r="C101" i="17" s="1"/>
  <c r="B100" i="17"/>
  <c r="B99" i="17"/>
  <c r="C99" i="17" s="1"/>
  <c r="B98" i="17"/>
  <c r="B97" i="17"/>
  <c r="C97" i="17" s="1"/>
  <c r="B96" i="17"/>
  <c r="B95" i="17"/>
  <c r="C95" i="17" s="1"/>
  <c r="B94" i="17"/>
  <c r="B93" i="17"/>
  <c r="C93" i="17" s="1"/>
  <c r="B92" i="17"/>
  <c r="B91" i="17"/>
  <c r="C91" i="17" s="1"/>
  <c r="B90" i="17"/>
  <c r="B89" i="17"/>
  <c r="C89" i="17" s="1"/>
  <c r="B88" i="17"/>
  <c r="B87" i="17"/>
  <c r="C87" i="17" s="1"/>
  <c r="B86" i="17"/>
  <c r="B85" i="17"/>
  <c r="C85" i="17" s="1"/>
  <c r="B84" i="17"/>
  <c r="B83" i="17"/>
  <c r="C83" i="17" s="1"/>
  <c r="B82" i="17"/>
  <c r="B81" i="17"/>
  <c r="C81" i="17" s="1"/>
  <c r="B80" i="17"/>
  <c r="B79" i="17"/>
  <c r="C79" i="17" s="1"/>
  <c r="B78" i="17"/>
  <c r="B77" i="17"/>
  <c r="C77" i="17" s="1"/>
  <c r="B76" i="17"/>
  <c r="B75" i="17"/>
  <c r="C75" i="17" s="1"/>
  <c r="B74" i="17"/>
  <c r="B73" i="17"/>
  <c r="C73" i="17" s="1"/>
  <c r="B72" i="17"/>
  <c r="B71" i="17"/>
  <c r="C71" i="17" s="1"/>
  <c r="B70" i="17"/>
  <c r="B69" i="17"/>
  <c r="C69" i="17" s="1"/>
  <c r="B68" i="17"/>
  <c r="B67" i="17"/>
  <c r="C67" i="17" s="1"/>
  <c r="B66" i="17"/>
  <c r="B65" i="17"/>
  <c r="C65" i="17" s="1"/>
  <c r="B64" i="17"/>
  <c r="B63" i="17"/>
  <c r="C63" i="17" s="1"/>
  <c r="B62" i="17"/>
  <c r="B61" i="17"/>
  <c r="C61" i="17" s="1"/>
  <c r="B60" i="17"/>
  <c r="B59" i="17"/>
  <c r="C59" i="17" s="1"/>
  <c r="B58" i="17"/>
  <c r="B57" i="17"/>
  <c r="C57" i="17" s="1"/>
  <c r="B56" i="17"/>
  <c r="B55" i="17"/>
  <c r="C55" i="17" s="1"/>
  <c r="B54" i="17"/>
  <c r="B53" i="17"/>
  <c r="C53" i="17" s="1"/>
  <c r="B52" i="17"/>
  <c r="B51" i="17"/>
  <c r="C51" i="17" s="1"/>
  <c r="B50" i="17"/>
  <c r="B49" i="17"/>
  <c r="C49" i="17" s="1"/>
  <c r="B48" i="17"/>
  <c r="B47" i="17"/>
  <c r="C47" i="17" s="1"/>
  <c r="B38" i="17"/>
  <c r="B37" i="17"/>
  <c r="C37" i="17" s="1"/>
  <c r="B36" i="17"/>
  <c r="B35" i="17"/>
  <c r="C35" i="17" s="1"/>
  <c r="B34" i="17"/>
  <c r="B33" i="17"/>
  <c r="C33" i="17" s="1"/>
  <c r="B32" i="17"/>
  <c r="B31" i="17"/>
  <c r="C31" i="17" s="1"/>
  <c r="B30" i="17"/>
  <c r="B29" i="17"/>
  <c r="B28" i="17"/>
  <c r="B27" i="17"/>
  <c r="B26" i="17"/>
  <c r="B25" i="17"/>
  <c r="B24" i="17"/>
  <c r="B23" i="17"/>
  <c r="C23" i="17" s="1"/>
  <c r="B22" i="17"/>
  <c r="B21" i="17"/>
  <c r="B15" i="17"/>
  <c r="B14" i="17"/>
  <c r="B13" i="17"/>
  <c r="B12" i="17"/>
  <c r="B11" i="17"/>
  <c r="B10" i="17"/>
  <c r="C10" i="17" s="1"/>
  <c r="B9" i="17"/>
  <c r="B8" i="17"/>
  <c r="B7" i="17"/>
  <c r="B6" i="17"/>
  <c r="C6" i="17" s="1"/>
  <c r="C8" i="17"/>
  <c r="C12" i="17"/>
  <c r="B3" i="17"/>
  <c r="B2" i="17"/>
  <c r="C2" i="17" s="1"/>
  <c r="F2" i="17" s="1"/>
  <c r="B5" i="17"/>
  <c r="B4" i="17"/>
  <c r="C4" i="17"/>
  <c r="C29" i="17"/>
  <c r="C27" i="17"/>
  <c r="C25" i="17"/>
  <c r="C14" i="17"/>
  <c r="B30" i="15"/>
  <c r="B29" i="15"/>
  <c r="B28" i="15"/>
  <c r="C27" i="15" s="1"/>
  <c r="B27" i="15"/>
  <c r="B26" i="15"/>
  <c r="B25" i="15"/>
  <c r="B24" i="15"/>
  <c r="B23" i="15"/>
  <c r="B22" i="15"/>
  <c r="B21" i="15"/>
  <c r="C21" i="15" s="1"/>
  <c r="B11" i="15"/>
  <c r="F4" i="15"/>
  <c r="C25" i="15"/>
  <c r="C29" i="15"/>
  <c r="L7" i="15"/>
  <c r="L6" i="15"/>
  <c r="L4" i="15"/>
  <c r="L3" i="15"/>
  <c r="L2" i="15"/>
  <c r="B15" i="15"/>
  <c r="B14" i="15"/>
  <c r="B13" i="15"/>
  <c r="B12" i="15"/>
  <c r="B10" i="15"/>
  <c r="B9" i="15"/>
  <c r="B8" i="15"/>
  <c r="C8" i="15" s="1"/>
  <c r="B7" i="15"/>
  <c r="B6" i="15"/>
  <c r="C6" i="15" s="1"/>
  <c r="B5" i="15"/>
  <c r="B4" i="15"/>
  <c r="C4" i="15" s="1"/>
  <c r="B3" i="15"/>
  <c r="B2" i="15"/>
  <c r="C12" i="15"/>
  <c r="C14" i="15"/>
  <c r="D14" i="15" s="1"/>
  <c r="C2" i="15"/>
  <c r="L7" i="13"/>
  <c r="C8" i="25" l="1"/>
  <c r="F8" i="25" s="1"/>
  <c r="L4" i="25" s="1"/>
  <c r="D4" i="25"/>
  <c r="E49" i="25"/>
  <c r="F49" i="25" s="1"/>
  <c r="E53" i="25"/>
  <c r="F53" i="25" s="1"/>
  <c r="E25" i="25"/>
  <c r="F25" i="25" s="1"/>
  <c r="E29" i="25"/>
  <c r="F29" i="25" s="1"/>
  <c r="E21" i="25"/>
  <c r="F21" i="25" s="1"/>
  <c r="E45" i="25"/>
  <c r="F45" i="25" s="1"/>
  <c r="F10" i="25"/>
  <c r="L5" i="25" s="1"/>
  <c r="D10" i="25"/>
  <c r="F12" i="25"/>
  <c r="L6" i="25" s="1"/>
  <c r="D12" i="25"/>
  <c r="E27" i="25"/>
  <c r="F27" i="25" s="1"/>
  <c r="D27" i="25"/>
  <c r="F4" i="25"/>
  <c r="L2" i="25" s="1"/>
  <c r="F2" i="25"/>
  <c r="D2" i="25"/>
  <c r="E37" i="25"/>
  <c r="F37" i="25" s="1"/>
  <c r="E47" i="25"/>
  <c r="F47" i="25" s="1"/>
  <c r="D47" i="25"/>
  <c r="F14" i="25"/>
  <c r="L7" i="25" s="1"/>
  <c r="D14" i="25"/>
  <c r="E31" i="25"/>
  <c r="F31" i="25" s="1"/>
  <c r="D31" i="25"/>
  <c r="E23" i="25"/>
  <c r="F23" i="25" s="1"/>
  <c r="D23" i="25"/>
  <c r="F6" i="25"/>
  <c r="L3" i="25" s="1"/>
  <c r="E41" i="25"/>
  <c r="F41" i="25" s="1"/>
  <c r="E51" i="25"/>
  <c r="F51" i="25" s="1"/>
  <c r="D51" i="25"/>
  <c r="E33" i="25"/>
  <c r="F33" i="25" s="1"/>
  <c r="E43" i="25"/>
  <c r="F43" i="25" s="1"/>
  <c r="D43" i="25"/>
  <c r="E39" i="25"/>
  <c r="F39" i="25" s="1"/>
  <c r="D39" i="25"/>
  <c r="E35" i="25"/>
  <c r="F35" i="25" s="1"/>
  <c r="D35" i="25"/>
  <c r="D6" i="25"/>
  <c r="D21" i="25"/>
  <c r="D25" i="25"/>
  <c r="D29" i="25"/>
  <c r="D33" i="25"/>
  <c r="D37" i="25"/>
  <c r="D41" i="25"/>
  <c r="D45" i="25"/>
  <c r="D49" i="25"/>
  <c r="D53" i="25"/>
  <c r="D75" i="23"/>
  <c r="E85" i="23"/>
  <c r="F85" i="23" s="1"/>
  <c r="E97" i="23"/>
  <c r="F97" i="23" s="1"/>
  <c r="E59" i="23"/>
  <c r="F59" i="23" s="1"/>
  <c r="E77" i="23"/>
  <c r="F77" i="23" s="1"/>
  <c r="E27" i="23"/>
  <c r="F27" i="23" s="1"/>
  <c r="E35" i="23"/>
  <c r="F35" i="23" s="1"/>
  <c r="E47" i="23"/>
  <c r="F47" i="23" s="1"/>
  <c r="E89" i="23"/>
  <c r="F89" i="23" s="1"/>
  <c r="C79" i="23"/>
  <c r="E79" i="23" s="1"/>
  <c r="F79" i="23" s="1"/>
  <c r="C99" i="23"/>
  <c r="E99" i="23" s="1"/>
  <c r="F99" i="23" s="1"/>
  <c r="D99" i="23"/>
  <c r="D71" i="23"/>
  <c r="C49" i="23"/>
  <c r="E49" i="23" s="1"/>
  <c r="F49" i="23" s="1"/>
  <c r="D49" i="23"/>
  <c r="C91" i="23"/>
  <c r="E91" i="23" s="1"/>
  <c r="F91" i="23" s="1"/>
  <c r="D91" i="23"/>
  <c r="D93" i="23"/>
  <c r="C69" i="23"/>
  <c r="E69" i="23" s="1"/>
  <c r="F69" i="23" s="1"/>
  <c r="D43" i="23"/>
  <c r="D63" i="23"/>
  <c r="C41" i="23"/>
  <c r="E41" i="23" s="1"/>
  <c r="F41" i="23" s="1"/>
  <c r="D35" i="23"/>
  <c r="D27" i="23"/>
  <c r="D85" i="23"/>
  <c r="C61" i="23"/>
  <c r="E61" i="23" s="1"/>
  <c r="F61" i="23" s="1"/>
  <c r="C33" i="23"/>
  <c r="E33" i="23" s="1"/>
  <c r="F33" i="23" s="1"/>
  <c r="C25" i="23"/>
  <c r="E25" i="23" s="1"/>
  <c r="F25" i="23" s="1"/>
  <c r="D25" i="23"/>
  <c r="C83" i="23"/>
  <c r="E83" i="23" s="1"/>
  <c r="F83" i="23" s="1"/>
  <c r="D55" i="23"/>
  <c r="D77" i="23"/>
  <c r="C53" i="23"/>
  <c r="E53" i="23" s="1"/>
  <c r="F53" i="23" s="1"/>
  <c r="D97" i="23"/>
  <c r="C73" i="23"/>
  <c r="E73" i="23" s="1"/>
  <c r="F73" i="23" s="1"/>
  <c r="D73" i="23"/>
  <c r="D47" i="23"/>
  <c r="C95" i="23"/>
  <c r="E95" i="23" s="1"/>
  <c r="F95" i="23" s="1"/>
  <c r="D67" i="23"/>
  <c r="C45" i="23"/>
  <c r="E45" i="23" s="1"/>
  <c r="F45" i="23" s="1"/>
  <c r="D89" i="23"/>
  <c r="C65" i="23"/>
  <c r="E65" i="23" s="1"/>
  <c r="F65" i="23" s="1"/>
  <c r="D39" i="23"/>
  <c r="D31" i="23"/>
  <c r="D23" i="23"/>
  <c r="C87" i="23"/>
  <c r="E87" i="23" s="1"/>
  <c r="F87" i="23" s="1"/>
  <c r="D59" i="23"/>
  <c r="C37" i="23"/>
  <c r="E37" i="23" s="1"/>
  <c r="F37" i="23" s="1"/>
  <c r="C29" i="23"/>
  <c r="E29" i="23" s="1"/>
  <c r="F29" i="23" s="1"/>
  <c r="C21" i="23"/>
  <c r="E21" i="23" s="1"/>
  <c r="F21" i="23" s="1"/>
  <c r="C101" i="23"/>
  <c r="E101" i="23" s="1"/>
  <c r="F101" i="23" s="1"/>
  <c r="D81" i="23"/>
  <c r="C57" i="23"/>
  <c r="E57" i="23" s="1"/>
  <c r="F57" i="23" s="1"/>
  <c r="D57" i="23"/>
  <c r="C51" i="23"/>
  <c r="E51" i="23" s="1"/>
  <c r="F51" i="23" s="1"/>
  <c r="D4" i="23"/>
  <c r="F10" i="23"/>
  <c r="L5" i="23" s="1"/>
  <c r="F8" i="23"/>
  <c r="L4" i="23" s="1"/>
  <c r="F4" i="23"/>
  <c r="L2" i="23" s="1"/>
  <c r="D2" i="23"/>
  <c r="F14" i="23"/>
  <c r="L7" i="23" s="1"/>
  <c r="D14" i="23"/>
  <c r="F6" i="23"/>
  <c r="L3" i="23" s="1"/>
  <c r="D6" i="23"/>
  <c r="D10" i="23"/>
  <c r="F12" i="23"/>
  <c r="L6" i="23" s="1"/>
  <c r="D12" i="23"/>
  <c r="D8" i="23"/>
  <c r="C63" i="21"/>
  <c r="C10" i="21"/>
  <c r="C25" i="21"/>
  <c r="C45" i="21"/>
  <c r="C75" i="21"/>
  <c r="D75" i="21" s="1"/>
  <c r="C12" i="21"/>
  <c r="C31" i="21"/>
  <c r="C87" i="21"/>
  <c r="E87" i="21" s="1"/>
  <c r="F87" i="21" s="1"/>
  <c r="C47" i="21"/>
  <c r="D47" i="21" s="1"/>
  <c r="C49" i="21"/>
  <c r="E49" i="21" s="1"/>
  <c r="F49" i="21" s="1"/>
  <c r="C69" i="21"/>
  <c r="D69" i="21" s="1"/>
  <c r="F4" i="21"/>
  <c r="L2" i="21" s="1"/>
  <c r="E83" i="21"/>
  <c r="F83" i="21" s="1"/>
  <c r="E43" i="21"/>
  <c r="F43" i="21" s="1"/>
  <c r="E67" i="21"/>
  <c r="F67" i="21" s="1"/>
  <c r="E23" i="21"/>
  <c r="F23" i="21" s="1"/>
  <c r="E95" i="21"/>
  <c r="F95" i="21" s="1"/>
  <c r="E55" i="21"/>
  <c r="F55" i="21" s="1"/>
  <c r="E27" i="21"/>
  <c r="F27" i="21" s="1"/>
  <c r="E79" i="21"/>
  <c r="F79" i="21" s="1"/>
  <c r="C4" i="19"/>
  <c r="F4" i="19" s="1"/>
  <c r="L2" i="19" s="1"/>
  <c r="D31" i="21"/>
  <c r="E31" i="21"/>
  <c r="F31" i="21" s="1"/>
  <c r="F6" i="21"/>
  <c r="L3" i="21" s="1"/>
  <c r="D6" i="21"/>
  <c r="E33" i="21"/>
  <c r="F33" i="21" s="1"/>
  <c r="D33" i="21"/>
  <c r="E75" i="21"/>
  <c r="F75" i="21" s="1"/>
  <c r="F14" i="21"/>
  <c r="L7" i="21" s="1"/>
  <c r="D14" i="21"/>
  <c r="E53" i="21"/>
  <c r="F53" i="21" s="1"/>
  <c r="D53" i="21"/>
  <c r="E63" i="21"/>
  <c r="F63" i="21" s="1"/>
  <c r="D63" i="21"/>
  <c r="F10" i="21"/>
  <c r="L5" i="21" s="1"/>
  <c r="D10" i="21"/>
  <c r="E37" i="21"/>
  <c r="F37" i="21" s="1"/>
  <c r="D37" i="21"/>
  <c r="E35" i="21"/>
  <c r="F35" i="21" s="1"/>
  <c r="E51" i="21"/>
  <c r="F51" i="21" s="1"/>
  <c r="F2" i="21"/>
  <c r="D2" i="21"/>
  <c r="E29" i="21"/>
  <c r="F29" i="21" s="1"/>
  <c r="D29" i="21"/>
  <c r="E39" i="21"/>
  <c r="F39" i="21" s="1"/>
  <c r="D99" i="21"/>
  <c r="E99" i="21"/>
  <c r="F99" i="21" s="1"/>
  <c r="E91" i="21"/>
  <c r="F91" i="21" s="1"/>
  <c r="E25" i="21"/>
  <c r="F25" i="21" s="1"/>
  <c r="D25" i="21"/>
  <c r="E45" i="21"/>
  <c r="F45" i="21" s="1"/>
  <c r="D45" i="21"/>
  <c r="E21" i="21"/>
  <c r="F21" i="21" s="1"/>
  <c r="D21" i="21"/>
  <c r="E41" i="21"/>
  <c r="F41" i="21" s="1"/>
  <c r="D41" i="21"/>
  <c r="E71" i="21"/>
  <c r="F71" i="21" s="1"/>
  <c r="E85" i="21"/>
  <c r="F85" i="21" s="1"/>
  <c r="D85" i="21"/>
  <c r="D91" i="21"/>
  <c r="E65" i="21"/>
  <c r="F65" i="21" s="1"/>
  <c r="D65" i="21"/>
  <c r="E89" i="21"/>
  <c r="F89" i="21" s="1"/>
  <c r="D89" i="21"/>
  <c r="D43" i="21"/>
  <c r="E59" i="21"/>
  <c r="F59" i="21" s="1"/>
  <c r="F12" i="21"/>
  <c r="L6" i="21" s="1"/>
  <c r="D12" i="21"/>
  <c r="D23" i="21"/>
  <c r="D39" i="21"/>
  <c r="D55" i="21"/>
  <c r="E61" i="21"/>
  <c r="F61" i="21" s="1"/>
  <c r="D61" i="21"/>
  <c r="D67" i="21"/>
  <c r="E73" i="21"/>
  <c r="F73" i="21" s="1"/>
  <c r="D73" i="21"/>
  <c r="D79" i="21"/>
  <c r="E97" i="21"/>
  <c r="F97" i="21" s="1"/>
  <c r="D97" i="21"/>
  <c r="E93" i="21"/>
  <c r="F93" i="21" s="1"/>
  <c r="D93" i="21"/>
  <c r="D71" i="21"/>
  <c r="D83" i="21"/>
  <c r="D27" i="21"/>
  <c r="E57" i="21"/>
  <c r="F57" i="21" s="1"/>
  <c r="D57" i="21"/>
  <c r="E81" i="21"/>
  <c r="F81" i="21" s="1"/>
  <c r="D81" i="21"/>
  <c r="E77" i="21"/>
  <c r="F77" i="21" s="1"/>
  <c r="D77" i="21"/>
  <c r="F8" i="21"/>
  <c r="L4" i="21" s="1"/>
  <c r="E101" i="21"/>
  <c r="F101" i="21" s="1"/>
  <c r="D101" i="21"/>
  <c r="F10" i="19"/>
  <c r="L5" i="19" s="1"/>
  <c r="D10" i="19"/>
  <c r="E39" i="19"/>
  <c r="F39" i="19" s="1"/>
  <c r="D39" i="19"/>
  <c r="D63" i="19"/>
  <c r="E63" i="19"/>
  <c r="F63" i="19" s="1"/>
  <c r="E87" i="19"/>
  <c r="F87" i="19" s="1"/>
  <c r="D87" i="19"/>
  <c r="F12" i="19"/>
  <c r="L6" i="19" s="1"/>
  <c r="D12" i="19"/>
  <c r="E41" i="19"/>
  <c r="F41" i="19" s="1"/>
  <c r="D41" i="19"/>
  <c r="D65" i="19"/>
  <c r="E65" i="19"/>
  <c r="F65" i="19" s="1"/>
  <c r="E89" i="19"/>
  <c r="F89" i="19" s="1"/>
  <c r="D89" i="19"/>
  <c r="E55" i="19"/>
  <c r="F55" i="19" s="1"/>
  <c r="D55" i="19"/>
  <c r="D21" i="19"/>
  <c r="E21" i="19"/>
  <c r="F21" i="19" s="1"/>
  <c r="E93" i="19"/>
  <c r="F93" i="19" s="1"/>
  <c r="D93" i="19"/>
  <c r="E27" i="19"/>
  <c r="F27" i="19" s="1"/>
  <c r="D27" i="19"/>
  <c r="E51" i="19"/>
  <c r="F51" i="19" s="1"/>
  <c r="D51" i="19"/>
  <c r="E75" i="19"/>
  <c r="F75" i="19" s="1"/>
  <c r="D75" i="19"/>
  <c r="E99" i="19"/>
  <c r="F99" i="19" s="1"/>
  <c r="D99" i="19"/>
  <c r="E29" i="19"/>
  <c r="F29" i="19" s="1"/>
  <c r="D29" i="19"/>
  <c r="D53" i="19"/>
  <c r="E53" i="19"/>
  <c r="F53" i="19" s="1"/>
  <c r="E77" i="19"/>
  <c r="F77" i="19" s="1"/>
  <c r="D77" i="19"/>
  <c r="E101" i="19"/>
  <c r="F101" i="19" s="1"/>
  <c r="D101" i="19"/>
  <c r="D2" i="19"/>
  <c r="F2" i="19"/>
  <c r="F14" i="19"/>
  <c r="L7" i="19" s="1"/>
  <c r="D14" i="19"/>
  <c r="D31" i="19"/>
  <c r="E31" i="19"/>
  <c r="F31" i="19" s="1"/>
  <c r="D43" i="19"/>
  <c r="E43" i="19"/>
  <c r="F43" i="19" s="1"/>
  <c r="E67" i="19"/>
  <c r="F67" i="19" s="1"/>
  <c r="D67" i="19"/>
  <c r="E79" i="19"/>
  <c r="F79" i="19" s="1"/>
  <c r="D79" i="19"/>
  <c r="E91" i="19"/>
  <c r="F91" i="19" s="1"/>
  <c r="D91" i="19"/>
  <c r="E33" i="19"/>
  <c r="F33" i="19" s="1"/>
  <c r="D45" i="19"/>
  <c r="E45" i="19"/>
  <c r="F45" i="19" s="1"/>
  <c r="D57" i="19"/>
  <c r="E57" i="19"/>
  <c r="F57" i="19" s="1"/>
  <c r="E69" i="19"/>
  <c r="F69" i="19" s="1"/>
  <c r="D69" i="19"/>
  <c r="E81" i="19"/>
  <c r="F81" i="19" s="1"/>
  <c r="D81" i="19"/>
  <c r="F6" i="19"/>
  <c r="L3" i="19" s="1"/>
  <c r="D6" i="19"/>
  <c r="E23" i="19"/>
  <c r="D23" i="19"/>
  <c r="E35" i="19"/>
  <c r="F35" i="19" s="1"/>
  <c r="D35" i="19"/>
  <c r="D47" i="19"/>
  <c r="E47" i="19"/>
  <c r="F47" i="19" s="1"/>
  <c r="E59" i="19"/>
  <c r="F59" i="19" s="1"/>
  <c r="D59" i="19"/>
  <c r="D71" i="19"/>
  <c r="E71" i="19"/>
  <c r="F71" i="19" s="1"/>
  <c r="D83" i="19"/>
  <c r="E83" i="19"/>
  <c r="F83" i="19" s="1"/>
  <c r="D95" i="19"/>
  <c r="E95" i="19"/>
  <c r="F95" i="19" s="1"/>
  <c r="F8" i="19"/>
  <c r="L4" i="19" s="1"/>
  <c r="D8" i="19"/>
  <c r="E25" i="19"/>
  <c r="F25" i="19" s="1"/>
  <c r="D25" i="19"/>
  <c r="D37" i="19"/>
  <c r="E37" i="19"/>
  <c r="F37" i="19" s="1"/>
  <c r="E49" i="19"/>
  <c r="F49" i="19" s="1"/>
  <c r="D49" i="19"/>
  <c r="E61" i="19"/>
  <c r="F61" i="19" s="1"/>
  <c r="D61" i="19"/>
  <c r="D73" i="19"/>
  <c r="E73" i="19"/>
  <c r="F73" i="19" s="1"/>
  <c r="E85" i="19"/>
  <c r="F85" i="19" s="1"/>
  <c r="D85" i="19"/>
  <c r="D97" i="19"/>
  <c r="E97" i="19"/>
  <c r="F97" i="19" s="1"/>
  <c r="D45" i="17"/>
  <c r="E101" i="17"/>
  <c r="F101" i="17" s="1"/>
  <c r="D101" i="17"/>
  <c r="E97" i="17"/>
  <c r="F97" i="17" s="1"/>
  <c r="D97" i="17"/>
  <c r="E91" i="17"/>
  <c r="F91" i="17" s="1"/>
  <c r="D91" i="17"/>
  <c r="E93" i="17"/>
  <c r="F93" i="17" s="1"/>
  <c r="D93" i="17"/>
  <c r="E95" i="17"/>
  <c r="F95" i="17" s="1"/>
  <c r="D95" i="17"/>
  <c r="E99" i="17"/>
  <c r="F99" i="17" s="1"/>
  <c r="D99" i="17"/>
  <c r="E81" i="17"/>
  <c r="F81" i="17" s="1"/>
  <c r="D81" i="17"/>
  <c r="E83" i="17"/>
  <c r="F83" i="17" s="1"/>
  <c r="D83" i="17"/>
  <c r="E85" i="17"/>
  <c r="F85" i="17" s="1"/>
  <c r="D85" i="17"/>
  <c r="E87" i="17"/>
  <c r="F87" i="17" s="1"/>
  <c r="D87" i="17"/>
  <c r="E89" i="17"/>
  <c r="F89" i="17" s="1"/>
  <c r="D89" i="17"/>
  <c r="E71" i="17"/>
  <c r="F71" i="17" s="1"/>
  <c r="D71" i="17"/>
  <c r="E73" i="17"/>
  <c r="F73" i="17" s="1"/>
  <c r="D73" i="17"/>
  <c r="E75" i="17"/>
  <c r="F75" i="17" s="1"/>
  <c r="D75" i="17"/>
  <c r="E77" i="17"/>
  <c r="F77" i="17" s="1"/>
  <c r="D77" i="17"/>
  <c r="E79" i="17"/>
  <c r="F79" i="17" s="1"/>
  <c r="D79" i="17"/>
  <c r="E61" i="17"/>
  <c r="F61" i="17" s="1"/>
  <c r="D61" i="17"/>
  <c r="E63" i="17"/>
  <c r="F63" i="17" s="1"/>
  <c r="D63" i="17"/>
  <c r="E65" i="17"/>
  <c r="F65" i="17" s="1"/>
  <c r="D65" i="17"/>
  <c r="E67" i="17"/>
  <c r="F67" i="17" s="1"/>
  <c r="D67" i="17"/>
  <c r="E69" i="17"/>
  <c r="F69" i="17" s="1"/>
  <c r="D69" i="17"/>
  <c r="E51" i="17"/>
  <c r="F51" i="17" s="1"/>
  <c r="D51" i="17"/>
  <c r="E53" i="17"/>
  <c r="F53" i="17" s="1"/>
  <c r="D53" i="17"/>
  <c r="E55" i="17"/>
  <c r="F55" i="17" s="1"/>
  <c r="D55" i="17"/>
  <c r="E57" i="17"/>
  <c r="F57" i="17" s="1"/>
  <c r="D57" i="17"/>
  <c r="E59" i="17"/>
  <c r="F59" i="17" s="1"/>
  <c r="D59" i="17"/>
  <c r="D47" i="17"/>
  <c r="E47" i="17"/>
  <c r="F47" i="17" s="1"/>
  <c r="E49" i="17"/>
  <c r="F49" i="17" s="1"/>
  <c r="D49" i="17"/>
  <c r="E31" i="17"/>
  <c r="F31" i="17" s="1"/>
  <c r="D31" i="17"/>
  <c r="E33" i="17"/>
  <c r="F33" i="17" s="1"/>
  <c r="D33" i="17"/>
  <c r="E35" i="17"/>
  <c r="F35" i="17" s="1"/>
  <c r="D35" i="17"/>
  <c r="E37" i="17"/>
  <c r="F37" i="17" s="1"/>
  <c r="D37" i="17"/>
  <c r="C21" i="17"/>
  <c r="D21" i="17" s="1"/>
  <c r="F14" i="17"/>
  <c r="L7" i="17" s="1"/>
  <c r="F4" i="17"/>
  <c r="L2" i="17" s="1"/>
  <c r="D4" i="17"/>
  <c r="F6" i="17"/>
  <c r="L3" i="17" s="1"/>
  <c r="D6" i="17"/>
  <c r="E23" i="17"/>
  <c r="F23" i="17" s="1"/>
  <c r="D23" i="17"/>
  <c r="F8" i="17"/>
  <c r="L4" i="17" s="1"/>
  <c r="D8" i="17"/>
  <c r="E25" i="17"/>
  <c r="F25" i="17" s="1"/>
  <c r="D25" i="17"/>
  <c r="F10" i="17"/>
  <c r="L5" i="17" s="1"/>
  <c r="D10" i="17"/>
  <c r="E27" i="17"/>
  <c r="F27" i="17" s="1"/>
  <c r="D27" i="17"/>
  <c r="F12" i="17"/>
  <c r="L6" i="17" s="1"/>
  <c r="D12" i="17"/>
  <c r="E29" i="17"/>
  <c r="F29" i="17" s="1"/>
  <c r="D29" i="17"/>
  <c r="D2" i="17"/>
  <c r="D14" i="17"/>
  <c r="C23" i="15"/>
  <c r="E23" i="15" s="1"/>
  <c r="F23" i="15" s="1"/>
  <c r="C10" i="15"/>
  <c r="F10" i="15" s="1"/>
  <c r="L5" i="15" s="1"/>
  <c r="D29" i="15"/>
  <c r="E29" i="15"/>
  <c r="F29" i="15" s="1"/>
  <c r="D23" i="15"/>
  <c r="D27" i="15"/>
  <c r="E27" i="15"/>
  <c r="F27" i="15" s="1"/>
  <c r="D25" i="15"/>
  <c r="E25" i="15"/>
  <c r="F25" i="15" s="1"/>
  <c r="E21" i="15"/>
  <c r="F21" i="15" s="1"/>
  <c r="D21" i="15"/>
  <c r="F14" i="15"/>
  <c r="F12" i="15"/>
  <c r="D10" i="15"/>
  <c r="D8" i="15"/>
  <c r="F8" i="15"/>
  <c r="D6" i="15"/>
  <c r="F6" i="15"/>
  <c r="D4" i="15"/>
  <c r="D12" i="15"/>
  <c r="D2" i="15"/>
  <c r="F2" i="15"/>
  <c r="L6" i="13"/>
  <c r="L5" i="13"/>
  <c r="L4" i="13"/>
  <c r="L3" i="13"/>
  <c r="L2" i="13"/>
  <c r="B21" i="13"/>
  <c r="B49" i="13"/>
  <c r="F18" i="13"/>
  <c r="E24" i="13"/>
  <c r="C42" i="13"/>
  <c r="C26" i="13"/>
  <c r="C30" i="13"/>
  <c r="E30" i="13" s="1"/>
  <c r="F30" i="13" s="1"/>
  <c r="C22" i="13"/>
  <c r="B48" i="13"/>
  <c r="C48" i="13" s="1"/>
  <c r="D48" i="13" s="1"/>
  <c r="B47" i="13"/>
  <c r="B46" i="13"/>
  <c r="C46" i="13" s="1"/>
  <c r="B45" i="13"/>
  <c r="B44" i="13"/>
  <c r="C44" i="13" s="1"/>
  <c r="B43" i="13"/>
  <c r="B42" i="13"/>
  <c r="D42" i="13" s="1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C24" i="13" s="1"/>
  <c r="B23" i="13"/>
  <c r="B22" i="13"/>
  <c r="D22" i="13" s="1"/>
  <c r="B20" i="13"/>
  <c r="B19" i="13"/>
  <c r="C18" i="13" s="1"/>
  <c r="E18" i="13" s="1"/>
  <c r="B18" i="13"/>
  <c r="B17" i="13"/>
  <c r="B16" i="13"/>
  <c r="E42" i="13"/>
  <c r="F42" i="13" s="1"/>
  <c r="C40" i="13"/>
  <c r="C38" i="13"/>
  <c r="C36" i="13"/>
  <c r="C34" i="13"/>
  <c r="C32" i="13"/>
  <c r="C28" i="13"/>
  <c r="E22" i="13"/>
  <c r="F22" i="13" s="1"/>
  <c r="C20" i="13"/>
  <c r="C16" i="13"/>
  <c r="F2" i="13"/>
  <c r="B13" i="13"/>
  <c r="B12" i="13"/>
  <c r="B11" i="13"/>
  <c r="B10" i="13"/>
  <c r="B9" i="13"/>
  <c r="B8" i="13"/>
  <c r="B7" i="13"/>
  <c r="B6" i="13"/>
  <c r="B5" i="13"/>
  <c r="B4" i="13"/>
  <c r="B3" i="13"/>
  <c r="B2" i="13"/>
  <c r="C12" i="13"/>
  <c r="C10" i="13"/>
  <c r="C8" i="13"/>
  <c r="C6" i="13"/>
  <c r="C4" i="13"/>
  <c r="C2" i="13"/>
  <c r="F21" i="10"/>
  <c r="G21" i="10" s="1"/>
  <c r="F35" i="10"/>
  <c r="G35" i="10" s="1"/>
  <c r="F33" i="10"/>
  <c r="G33" i="10" s="1"/>
  <c r="F31" i="10"/>
  <c r="G31" i="10" s="1"/>
  <c r="F29" i="10"/>
  <c r="G29" i="10" s="1"/>
  <c r="F27" i="10"/>
  <c r="G27" i="10" s="1"/>
  <c r="F25" i="10"/>
  <c r="G25" i="10" s="1"/>
  <c r="F23" i="10"/>
  <c r="G23" i="10" s="1"/>
  <c r="F19" i="10"/>
  <c r="G19" i="10" s="1"/>
  <c r="F17" i="10"/>
  <c r="B36" i="10"/>
  <c r="B35" i="10"/>
  <c r="B34" i="10"/>
  <c r="C33" i="10" s="1"/>
  <c r="B33" i="10"/>
  <c r="B32" i="10"/>
  <c r="B31" i="10"/>
  <c r="B30" i="10"/>
  <c r="C29" i="10" s="1"/>
  <c r="B29" i="10"/>
  <c r="B28" i="10"/>
  <c r="B27" i="10"/>
  <c r="B26" i="10"/>
  <c r="B25" i="10"/>
  <c r="B24" i="10"/>
  <c r="B23" i="10"/>
  <c r="B22" i="10"/>
  <c r="C21" i="10" s="1"/>
  <c r="B21" i="10"/>
  <c r="B20" i="10"/>
  <c r="C19" i="10" s="1"/>
  <c r="B19" i="10"/>
  <c r="B18" i="10"/>
  <c r="B17" i="10"/>
  <c r="B3" i="10"/>
  <c r="B2" i="10"/>
  <c r="B13" i="10"/>
  <c r="B12" i="10"/>
  <c r="B11" i="10"/>
  <c r="B10" i="10"/>
  <c r="B9" i="10"/>
  <c r="B8" i="10"/>
  <c r="B7" i="10"/>
  <c r="B6" i="10"/>
  <c r="C6" i="10" s="1"/>
  <c r="B5" i="10"/>
  <c r="B4" i="10"/>
  <c r="C4" i="10" s="1"/>
  <c r="C12" i="10"/>
  <c r="C17" i="10"/>
  <c r="D17" i="10" s="1"/>
  <c r="C27" i="10"/>
  <c r="C35" i="10"/>
  <c r="C10" i="10"/>
  <c r="C8" i="10"/>
  <c r="C2" i="10"/>
  <c r="D8" i="25" l="1"/>
  <c r="D83" i="23"/>
  <c r="D37" i="23"/>
  <c r="D33" i="23"/>
  <c r="D65" i="23"/>
  <c r="D41" i="23"/>
  <c r="D21" i="23"/>
  <c r="D53" i="23"/>
  <c r="D61" i="23"/>
  <c r="D45" i="23"/>
  <c r="D95" i="23"/>
  <c r="D51" i="23"/>
  <c r="D87" i="23"/>
  <c r="D79" i="23"/>
  <c r="D29" i="23"/>
  <c r="D69" i="23"/>
  <c r="D101" i="23"/>
  <c r="E47" i="21"/>
  <c r="F47" i="21" s="1"/>
  <c r="D87" i="21"/>
  <c r="D49" i="21"/>
  <c r="E69" i="21"/>
  <c r="F69" i="21" s="1"/>
  <c r="D4" i="21"/>
  <c r="D4" i="19"/>
  <c r="E21" i="17"/>
  <c r="F21" i="17" s="1"/>
  <c r="D30" i="13"/>
  <c r="E46" i="13"/>
  <c r="F46" i="13" s="1"/>
  <c r="D46" i="13"/>
  <c r="E36" i="13"/>
  <c r="F36" i="13" s="1"/>
  <c r="D36" i="13"/>
  <c r="E48" i="13"/>
  <c r="F48" i="13" s="1"/>
  <c r="E38" i="13"/>
  <c r="F38" i="13" s="1"/>
  <c r="D38" i="13"/>
  <c r="D40" i="13"/>
  <c r="E40" i="13"/>
  <c r="F40" i="13" s="1"/>
  <c r="E44" i="13"/>
  <c r="F44" i="13" s="1"/>
  <c r="D44" i="13"/>
  <c r="E16" i="13"/>
  <c r="F16" i="13" s="1"/>
  <c r="D16" i="13"/>
  <c r="E26" i="13"/>
  <c r="F26" i="13" s="1"/>
  <c r="D26" i="13"/>
  <c r="D28" i="13"/>
  <c r="E28" i="13"/>
  <c r="F28" i="13" s="1"/>
  <c r="E20" i="13"/>
  <c r="F20" i="13" s="1"/>
  <c r="D20" i="13"/>
  <c r="E32" i="13"/>
  <c r="F32" i="13" s="1"/>
  <c r="D32" i="13"/>
  <c r="E34" i="13"/>
  <c r="F34" i="13" s="1"/>
  <c r="D34" i="13"/>
  <c r="F24" i="13"/>
  <c r="D24" i="13"/>
  <c r="D18" i="13"/>
  <c r="F4" i="13"/>
  <c r="D4" i="13"/>
  <c r="D6" i="13"/>
  <c r="F6" i="13"/>
  <c r="F8" i="13"/>
  <c r="D8" i="13"/>
  <c r="F10" i="13"/>
  <c r="D10" i="13"/>
  <c r="F12" i="13"/>
  <c r="D12" i="13"/>
  <c r="D2" i="13"/>
  <c r="D23" i="10"/>
  <c r="D33" i="10"/>
  <c r="D27" i="10"/>
  <c r="C25" i="10"/>
  <c r="G17" i="10"/>
  <c r="D12" i="10"/>
  <c r="D31" i="10"/>
  <c r="D29" i="10"/>
  <c r="D21" i="10"/>
  <c r="D19" i="10"/>
  <c r="F2" i="10"/>
  <c r="D2" i="10"/>
  <c r="D10" i="10"/>
  <c r="D6" i="10"/>
  <c r="D8" i="10"/>
  <c r="D4" i="10"/>
  <c r="D25" i="10" l="1"/>
</calcChain>
</file>

<file path=xl/sharedStrings.xml><?xml version="1.0" encoding="utf-8"?>
<sst xmlns="http://schemas.openxmlformats.org/spreadsheetml/2006/main" count="4285" uniqueCount="392">
  <si>
    <t>CV</t>
  </si>
  <si>
    <t>Date</t>
  </si>
  <si>
    <t>Standard</t>
  </si>
  <si>
    <t>Absorbance</t>
  </si>
  <si>
    <t>Mean</t>
  </si>
  <si>
    <t>CorrAbs</t>
  </si>
  <si>
    <t>Concentation</t>
  </si>
  <si>
    <t>STD_0</t>
  </si>
  <si>
    <t>Data for Plot</t>
  </si>
  <si>
    <t>STD_2</t>
  </si>
  <si>
    <t>STD_3</t>
  </si>
  <si>
    <t>Sample Name</t>
  </si>
  <si>
    <t>Final Concentration</t>
  </si>
  <si>
    <t>Corrected Concentration</t>
  </si>
  <si>
    <t>Slope</t>
  </si>
  <si>
    <t>Intercept</t>
  </si>
  <si>
    <t>Software Version</t>
  </si>
  <si>
    <t>2.09.1</t>
  </si>
  <si>
    <t>Experiment File Path:</t>
  </si>
  <si>
    <t>Protocol File Path:</t>
  </si>
  <si>
    <t>Plate Number</t>
  </si>
  <si>
    <t>Plate 1</t>
  </si>
  <si>
    <t>Time</t>
  </si>
  <si>
    <t>Reader Type: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</si>
  <si>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</si>
  <si>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</si>
  <si>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</si>
  <si>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</si>
  <si>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</si>
  <si>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</si>
  <si>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</si>
  <si>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</si>
  <si>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</si>
  <si>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</si>
  <si>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Layout</t>
  </si>
  <si>
    <t>A</t>
  </si>
  <si>
    <t>BLK</t>
  </si>
  <si>
    <t>SPL4</t>
  </si>
  <si>
    <t>SPL8</t>
  </si>
  <si>
    <t>Well ID</t>
  </si>
  <si>
    <t>Conc/Dil</t>
  </si>
  <si>
    <t>B</t>
  </si>
  <si>
    <t>C</t>
  </si>
  <si>
    <t>STD2</t>
  </si>
  <si>
    <t>SPL1</t>
  </si>
  <si>
    <t>SPL5</t>
  </si>
  <si>
    <t>SPL9</t>
  </si>
  <si>
    <t>D</t>
  </si>
  <si>
    <t>E</t>
  </si>
  <si>
    <t>STD3</t>
  </si>
  <si>
    <t>SPL2</t>
  </si>
  <si>
    <t>SPL6</t>
  </si>
  <si>
    <t>SPL10</t>
  </si>
  <si>
    <t>F</t>
  </si>
  <si>
    <t>G</t>
  </si>
  <si>
    <t>STD5</t>
  </si>
  <si>
    <t>SPL3</t>
  </si>
  <si>
    <t>SPL7</t>
  </si>
  <si>
    <t>H</t>
  </si>
  <si>
    <t>Actual Temperature:</t>
  </si>
  <si>
    <t>Well</t>
  </si>
  <si>
    <t>Count</t>
  </si>
  <si>
    <t>Std Dev</t>
  </si>
  <si>
    <t>CV (%)</t>
  </si>
  <si>
    <t>A1</t>
  </si>
  <si>
    <t>B1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</si>
  <si>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</si>
  <si>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</si>
  <si>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</si>
  <si>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</si>
  <si>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</si>
  <si>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</si>
  <si>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</si>
  <si>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</si>
  <si>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</si>
  <si>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</si>
  <si>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</si>
  <si>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</si>
  <si>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</si>
  <si>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</si>
  <si>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</si>
  <si>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</si>
  <si>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</si>
  <si>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</si>
  <si>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</si>
  <si>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</si>
  <si>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</si>
  <si>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</si>
  <si>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C1</t>
  </si>
  <si>
    <t>D1</t>
  </si>
  <si>
    <t>F1</t>
  </si>
  <si>
    <t>E1</t>
  </si>
  <si>
    <t>G1</t>
  </si>
  <si>
    <t>H1</t>
  </si>
  <si>
    <t>A2</t>
  </si>
  <si>
    <t>B2</t>
  </si>
  <si>
    <t>Wavelengths:  500</t>
  </si>
  <si>
    <t>Read Speed: Normal,  Delay: 100 msec,  Measurements/Data Point: 8</t>
  </si>
  <si>
    <t>STD1</t>
  </si>
  <si>
    <t>?????</t>
  </si>
  <si>
    <t>E:\GT_Metabolomics\TRIG_10_14_24_Optimization.xpt</t>
  </si>
  <si>
    <t>Cytation3</t>
  </si>
  <si>
    <t>STD4</t>
  </si>
  <si>
    <t>Blanked Data</t>
  </si>
  <si>
    <t>StdCurve</t>
  </si>
  <si>
    <t>StdCurve Fitting Results</t>
  </si>
  <si>
    <t>Curve Name</t>
  </si>
  <si>
    <t>Curve Formula</t>
  </si>
  <si>
    <t>R2</t>
  </si>
  <si>
    <t>Fit F Prob</t>
  </si>
  <si>
    <t>Y=A*X+B</t>
  </si>
  <si>
    <t>[Concentration]</t>
  </si>
  <si>
    <t>&lt;0.000</t>
  </si>
  <si>
    <t>Blank</t>
  </si>
  <si>
    <t>STD_1</t>
  </si>
  <si>
    <t>GH_Pool</t>
  </si>
  <si>
    <t>GH_Pool_1:2</t>
  </si>
  <si>
    <t>GH_Pool_1:4</t>
  </si>
  <si>
    <t>Overwinter</t>
  </si>
  <si>
    <t>Greenhouse</t>
  </si>
  <si>
    <t>GH_Pool_1:8</t>
  </si>
  <si>
    <t>OW_Pool</t>
  </si>
  <si>
    <t>OW_Pool_1:2</t>
  </si>
  <si>
    <t>OW_Pool_1:4</t>
  </si>
  <si>
    <t>OW_Pool_1:8</t>
  </si>
  <si>
    <t xml:space="preserve">Color Scheme: </t>
  </si>
  <si>
    <t>STD_4</t>
  </si>
  <si>
    <t>Yellow highlight means did not have enough plasma for duplicate</t>
  </si>
  <si>
    <t>NOTES:</t>
  </si>
  <si>
    <t xml:space="preserve">Blank wells not required. S0 serves the same purpose. </t>
  </si>
  <si>
    <t xml:space="preserve">No dilution factor required perhaps. Check after doing individuals from 3-month timepoint. Worried GH tortoise will fall off curve. </t>
  </si>
  <si>
    <t>SPL14</t>
  </si>
  <si>
    <t>SPL11</t>
  </si>
  <si>
    <t>SPL15</t>
  </si>
  <si>
    <t>STD6</t>
  </si>
  <si>
    <t>SPL12</t>
  </si>
  <si>
    <t>SPL16</t>
  </si>
  <si>
    <t>SPL13</t>
  </si>
  <si>
    <t>SPL17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</si>
  <si>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</si>
  <si>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</si>
  <si>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</si>
  <si>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</si>
  <si>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</si>
  <si>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</si>
  <si>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</si>
  <si>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</si>
  <si>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</si>
  <si>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</si>
  <si>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</si>
  <si>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</si>
  <si>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</si>
  <si>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</si>
  <si>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</si>
  <si>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</si>
  <si>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&gt;210.000</t>
  </si>
  <si>
    <t>S0</t>
  </si>
  <si>
    <t>S1</t>
  </si>
  <si>
    <t>S3</t>
  </si>
  <si>
    <t>S7</t>
  </si>
  <si>
    <t>S5</t>
  </si>
  <si>
    <t>S9</t>
  </si>
  <si>
    <t>3.3 (C)</t>
  </si>
  <si>
    <t>5.2 (D)</t>
  </si>
  <si>
    <t>3.3 (D)</t>
  </si>
  <si>
    <t>5.2 (C)</t>
  </si>
  <si>
    <t>6.4 (D)</t>
  </si>
  <si>
    <t>15.5 (D)</t>
  </si>
  <si>
    <t>5.3 (D)</t>
  </si>
  <si>
    <t>2.2 (A)</t>
  </si>
  <si>
    <t>9.3 (A)</t>
  </si>
  <si>
    <t>2.4 (A)</t>
  </si>
  <si>
    <t>6.5 (A)</t>
  </si>
  <si>
    <t>Values similar to blank, unsure what happened here, likely no plasma was added to well</t>
  </si>
  <si>
    <t>Falls off the curve</t>
  </si>
  <si>
    <t>Samples with abnornal absorbance and concentrations highlighted in yellow</t>
  </si>
  <si>
    <t>Not enough for duplicate</t>
  </si>
  <si>
    <t>Not enough for duplicate (7uL added to second well opposed to 10uL)</t>
  </si>
  <si>
    <t>Samples off curve indicated by orange highlight</t>
  </si>
  <si>
    <t>Plate was read approx 30 minutes after final incubation - kit says absorbances can be read till the 1 hour mark (No observable effect of time of reading on absorbance however for the future time of reading needs to be standardized</t>
  </si>
  <si>
    <t>These four wells make me suspicious that in a hurry I accidentally added plasma from two samples in one well</t>
  </si>
  <si>
    <t>Timepoint</t>
  </si>
  <si>
    <t>Label</t>
  </si>
  <si>
    <t>Baseline</t>
  </si>
  <si>
    <t>Cold Dormancy</t>
  </si>
  <si>
    <t>3 weeks</t>
  </si>
  <si>
    <t>3 months</t>
  </si>
  <si>
    <t xml:space="preserve">Conclusion: No dilution factor required.  </t>
  </si>
  <si>
    <t>E:\GT_Metabolomics\TRIG_11_07_24_Optimization.xpt</t>
  </si>
  <si>
    <t>C:\Users\Public\Documents\Protocols\Schwartz_TRIG.prt</t>
  </si>
  <si>
    <t>Unknown</t>
  </si>
  <si>
    <t>Random</t>
  </si>
  <si>
    <t>2.2(A)</t>
  </si>
  <si>
    <t>E:\GT_Metabolomics\TRIG_11_27_24_Plate1.xpt</t>
  </si>
  <si>
    <t>SPL18</t>
  </si>
  <si>
    <t>SPL22</t>
  </si>
  <si>
    <t>SPL26</t>
  </si>
  <si>
    <t>SPL30</t>
  </si>
  <si>
    <t>SPL34</t>
  </si>
  <si>
    <t>SPL38</t>
  </si>
  <si>
    <t>SPL19</t>
  </si>
  <si>
    <t>SPL23</t>
  </si>
  <si>
    <t>SPL27</t>
  </si>
  <si>
    <t>SPL31</t>
  </si>
  <si>
    <t>SPL35</t>
  </si>
  <si>
    <t>SPL39</t>
  </si>
  <si>
    <t>SPL20</t>
  </si>
  <si>
    <t>SPL24</t>
  </si>
  <si>
    <t>SPL28</t>
  </si>
  <si>
    <t>SPL32</t>
  </si>
  <si>
    <t>SPL36</t>
  </si>
  <si>
    <t>SPL40</t>
  </si>
  <si>
    <t>SPL21</t>
  </si>
  <si>
    <t>SPL25</t>
  </si>
  <si>
    <t>SPL29</t>
  </si>
  <si>
    <t>SPL33</t>
  </si>
  <si>
    <t>SPL37</t>
  </si>
  <si>
    <t>SPL41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</si>
  <si>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</si>
  <si>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</si>
  <si>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</si>
  <si>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</si>
  <si>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</si>
  <si>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</si>
  <si>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</si>
  <si>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</si>
  <si>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</si>
  <si>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</si>
  <si>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</si>
  <si>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</si>
  <si>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</si>
  <si>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</si>
  <si>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</si>
  <si>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</si>
  <si>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</si>
  <si>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</si>
  <si>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</si>
  <si>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</si>
  <si>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</si>
  <si>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</si>
  <si>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</si>
  <si>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</si>
  <si>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</si>
  <si>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</si>
  <si>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</si>
  <si>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</si>
  <si>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</si>
  <si>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</si>
  <si>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</si>
  <si>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</si>
  <si>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</si>
  <si>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</si>
  <si>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</si>
  <si>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</si>
  <si>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</si>
  <si>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</si>
  <si>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</si>
  <si>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</si>
  <si>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</si>
  <si>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</si>
  <si>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</si>
  <si>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</si>
  <si>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</si>
  <si>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</si>
  <si>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</si>
  <si>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</si>
  <si>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Blank 500</t>
  </si>
  <si>
    <t>Subsituted for value in G8, higher than normal</t>
  </si>
  <si>
    <t>10.1 (A)</t>
  </si>
  <si>
    <t>15.2 (A)</t>
  </si>
  <si>
    <t>11.1 (A)</t>
  </si>
  <si>
    <t>10.1 (D)</t>
  </si>
  <si>
    <t>12.5 (A)</t>
  </si>
  <si>
    <t>13.3 (A)</t>
  </si>
  <si>
    <t>9.3 (D)</t>
  </si>
  <si>
    <t>10.5 (A)</t>
  </si>
  <si>
    <t>15.2 (C)</t>
  </si>
  <si>
    <t>11.1 (D)</t>
  </si>
  <si>
    <t>10.5 (C)</t>
  </si>
  <si>
    <t>12.5 (C)</t>
  </si>
  <si>
    <t>17.2 (C)</t>
  </si>
  <si>
    <t>7.4 (A)</t>
  </si>
  <si>
    <t>17.2 (A)</t>
  </si>
  <si>
    <t>15.1 (A)</t>
  </si>
  <si>
    <t>10.1 (C)</t>
  </si>
  <si>
    <t>17.5 (D)</t>
  </si>
  <si>
    <t>15.1 (C)</t>
  </si>
  <si>
    <t>7.4 (D)</t>
  </si>
  <si>
    <t xml:space="preserve">7.5 (A) </t>
  </si>
  <si>
    <t>17.5 (C)</t>
  </si>
  <si>
    <t>11.1 (C)</t>
  </si>
  <si>
    <t>15.2 (D)</t>
  </si>
  <si>
    <t>13.3 (C)</t>
  </si>
  <si>
    <t>17.5 (A)</t>
  </si>
  <si>
    <t>12.5 (D)</t>
  </si>
  <si>
    <t xml:space="preserve">7.5 (C) </t>
  </si>
  <si>
    <t>17.2 (D)</t>
  </si>
  <si>
    <t>15.1 (D)</t>
  </si>
  <si>
    <t>9.3 (C)</t>
  </si>
  <si>
    <t>5.2 (A)</t>
  </si>
  <si>
    <t>7.4 (C)</t>
  </si>
  <si>
    <t xml:space="preserve">7.5 (D) </t>
  </si>
  <si>
    <t>13.3 (D)</t>
  </si>
  <si>
    <t>10.5 (D)</t>
  </si>
  <si>
    <t>E:\GT_Metabolomics\TRIG_11_27_24_Plate2.xpt</t>
  </si>
  <si>
    <t>E:\GT_Metabolomics\TRIG_11_29_24_Plate3.xpt</t>
  </si>
  <si>
    <t>Data point thrown out as its close to S1 and not similar to previous runs</t>
  </si>
  <si>
    <t>6.3 (A)</t>
  </si>
  <si>
    <t>3.3 (A)</t>
  </si>
  <si>
    <t>14.4 (D)</t>
  </si>
  <si>
    <t>5.1 (A)</t>
  </si>
  <si>
    <t>10.4 (A)</t>
  </si>
  <si>
    <t>3.1 (D)</t>
  </si>
  <si>
    <t>12.2 (A)</t>
  </si>
  <si>
    <t>12.2 (C)</t>
  </si>
  <si>
    <t>5.1 (C)</t>
  </si>
  <si>
    <t>17.4 (C)</t>
  </si>
  <si>
    <t>9.4 (A)</t>
  </si>
  <si>
    <t xml:space="preserve">6.4 (C) </t>
  </si>
  <si>
    <t>17.4 (A)</t>
  </si>
  <si>
    <t>14.4 (C)</t>
  </si>
  <si>
    <t>3.1 (C)</t>
  </si>
  <si>
    <t>17.4 (D)</t>
  </si>
  <si>
    <t>9.4 (D)</t>
  </si>
  <si>
    <t xml:space="preserve">6.4 (A) </t>
  </si>
  <si>
    <t>3.1 (A)</t>
  </si>
  <si>
    <t>15.5 (C)</t>
  </si>
  <si>
    <t>6.3 (D)</t>
  </si>
  <si>
    <t>10.4 (C)</t>
  </si>
  <si>
    <t>13.1 (C)</t>
  </si>
  <si>
    <t>5.1 (D)</t>
  </si>
  <si>
    <t>10.4 (D)</t>
  </si>
  <si>
    <t>13.1 (D)</t>
  </si>
  <si>
    <t>13.2 (D)</t>
  </si>
  <si>
    <t>13.1 (A)</t>
  </si>
  <si>
    <t>9.4 (C)</t>
  </si>
  <si>
    <t xml:space="preserve">6.4 (D) </t>
  </si>
  <si>
    <t>5.4 (A)</t>
  </si>
  <si>
    <t>7.1 (D)</t>
  </si>
  <si>
    <t>7.2 (D)</t>
  </si>
  <si>
    <t>5.3 (A)</t>
  </si>
  <si>
    <t>6.2 (A)</t>
  </si>
  <si>
    <t>10.6 (A)</t>
  </si>
  <si>
    <t>11.2 (A)</t>
  </si>
  <si>
    <t>5.4 (C)</t>
  </si>
  <si>
    <t>11.2 (C)</t>
  </si>
  <si>
    <t>6.2 (C)</t>
  </si>
  <si>
    <t>14.5 (C)</t>
  </si>
  <si>
    <t>7.2 (A)</t>
  </si>
  <si>
    <t xml:space="preserve">9.6 (C) </t>
  </si>
  <si>
    <t>14.5 (A)</t>
  </si>
  <si>
    <t>13.4 (A)</t>
  </si>
  <si>
    <t>BLANK</t>
  </si>
  <si>
    <t>13.4 (C)</t>
  </si>
  <si>
    <t xml:space="preserve">9.6 (A) </t>
  </si>
  <si>
    <t>5.3 (C)</t>
  </si>
  <si>
    <t>5.4 (D)</t>
  </si>
  <si>
    <t>10.6 (C)</t>
  </si>
  <si>
    <t>6.2 (D)</t>
  </si>
  <si>
    <t>10.6 (D)</t>
  </si>
  <si>
    <t>Bubbles while pipetting</t>
  </si>
  <si>
    <t>14.5 (D)</t>
  </si>
  <si>
    <t>13.4 (D)</t>
  </si>
  <si>
    <t>11.2 (D)</t>
  </si>
  <si>
    <t>7.1 (A)</t>
  </si>
  <si>
    <t>7.2 (C)</t>
  </si>
  <si>
    <t xml:space="preserve">9.6 (D) </t>
  </si>
  <si>
    <t>7.1 (C)</t>
  </si>
  <si>
    <t>E:\GT_Metabolomics\TRIG_11_29_24_Plate4.xpt</t>
  </si>
  <si>
    <t>5.5 (A)</t>
  </si>
  <si>
    <t>3.2 (A)</t>
  </si>
  <si>
    <t>12.6 (A)</t>
  </si>
  <si>
    <t>5.5 (D)</t>
  </si>
  <si>
    <t>9.5 (A)</t>
  </si>
  <si>
    <t>3.2 (C)</t>
  </si>
  <si>
    <t>12.6 (D)</t>
  </si>
  <si>
    <t>9.5 (C)</t>
  </si>
  <si>
    <t>6.5 (C)</t>
  </si>
  <si>
    <t>12.4 (C)</t>
  </si>
  <si>
    <t>13.2 (A)</t>
  </si>
  <si>
    <t>12.4 (A)</t>
  </si>
  <si>
    <t>5.5 (C)</t>
  </si>
  <si>
    <t>12.6 (C)</t>
  </si>
  <si>
    <t>3.2 (D)</t>
  </si>
  <si>
    <t>6.5 (D)</t>
  </si>
  <si>
    <t>12.4 (D)</t>
  </si>
  <si>
    <t>7.3 (A)</t>
  </si>
  <si>
    <t>13.2 (C)</t>
  </si>
  <si>
    <t>7.3 (C)</t>
  </si>
  <si>
    <t>Bubbles while pipetting + barely enough sample - P1 tube finished</t>
  </si>
  <si>
    <t>E:\GT_Metabolomics\TRIG_11_29_24_Plate5.xpt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</si>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</sst>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</font>
    <font>
      <b/>
      <sz val="11"/>
      <color theme="1"/>
      <name val="Arial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4" fillId="0" borderId="0"/>
    <xf numFmtId="0" fontId="15" fillId="0" borderId="0"/>
  </cellStyleXfs>
  <cellXfs count="101">
    <xf numFmtId="0" fontId="0" fillId="0" borderId="0" xfId="0"/>
    <xf numFmtId="0" fontId="6" fillId="0" borderId="0" xfId="1"/>
    <xf numFmtId="14" fontId="6" fillId="0" borderId="0" xfId="1" applyNumberFormat="1"/>
    <xf numFmtId="19" fontId="6" fillId="0" borderId="0" xfId="1" applyNumberFormat="1"/>
    <xf numFmtId="0" fontId="7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6" fillId="3" borderId="1" xfId="1" applyFill="1" applyBorder="1" applyAlignment="1">
      <alignment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8" fillId="7" borderId="3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1" fillId="0" borderId="0" xfId="0" applyFont="1"/>
    <xf numFmtId="0" fontId="5" fillId="0" borderId="0" xfId="0" applyFont="1"/>
    <xf numFmtId="0" fontId="12" fillId="0" borderId="0" xfId="0" applyFont="1"/>
    <xf numFmtId="3" fontId="12" fillId="0" borderId="0" xfId="0" applyNumberFormat="1" applyFont="1"/>
    <xf numFmtId="164" fontId="12" fillId="0" borderId="0" xfId="0" applyNumberFormat="1" applyFont="1"/>
    <xf numFmtId="11" fontId="12" fillId="0" borderId="0" xfId="0" applyNumberFormat="1" applyFont="1"/>
    <xf numFmtId="0" fontId="12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0" xfId="0" applyFont="1"/>
    <xf numFmtId="0" fontId="12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3" fillId="0" borderId="0" xfId="0" applyFont="1"/>
    <xf numFmtId="0" fontId="12" fillId="13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3" borderId="0" xfId="0" applyFont="1" applyFill="1"/>
    <xf numFmtId="0" fontId="11" fillId="0" borderId="0" xfId="0" applyFont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14" fillId="0" borderId="0" xfId="2"/>
    <xf numFmtId="14" fontId="14" fillId="0" borderId="0" xfId="2" applyNumberFormat="1"/>
    <xf numFmtId="19" fontId="14" fillId="0" borderId="0" xfId="2" applyNumberFormat="1"/>
    <xf numFmtId="0" fontId="7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4" fillId="3" borderId="1" xfId="2" applyFill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 vertical="center" wrapText="1"/>
    </xf>
    <xf numFmtId="0" fontId="8" fillId="6" borderId="3" xfId="2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/>
    </xf>
    <xf numFmtId="0" fontId="12" fillId="12" borderId="0" xfId="0" applyFont="1" applyFill="1"/>
    <xf numFmtId="0" fontId="12" fillId="17" borderId="1" xfId="0" applyFont="1" applyFill="1" applyBorder="1" applyAlignment="1">
      <alignment horizontal="center"/>
    </xf>
    <xf numFmtId="0" fontId="2" fillId="0" borderId="0" xfId="0" applyFont="1"/>
    <xf numFmtId="0" fontId="12" fillId="0" borderId="0" xfId="0" applyFont="1" applyAlignment="1">
      <alignment horizontal="center"/>
    </xf>
    <xf numFmtId="0" fontId="15" fillId="0" borderId="0" xfId="3"/>
    <xf numFmtId="14" fontId="15" fillId="0" borderId="0" xfId="3" applyNumberFormat="1"/>
    <xf numFmtId="19" fontId="15" fillId="0" borderId="0" xfId="3" applyNumberFormat="1"/>
    <xf numFmtId="0" fontId="7" fillId="0" borderId="0" xfId="3" applyFont="1" applyAlignment="1">
      <alignment horizontal="left" vertical="center" wrapText="1"/>
    </xf>
    <xf numFmtId="0" fontId="8" fillId="0" borderId="0" xfId="3" applyFont="1" applyAlignment="1">
      <alignment horizontal="left" vertical="center" wrapText="1"/>
    </xf>
    <xf numFmtId="0" fontId="15" fillId="3" borderId="1" xfId="3" applyFill="1" applyBorder="1" applyAlignment="1">
      <alignment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8" fillId="7" borderId="2" xfId="3" applyFont="1" applyFill="1" applyBorder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0" fontId="8" fillId="5" borderId="2" xfId="3" applyFont="1" applyFill="1" applyBorder="1" applyAlignment="1">
      <alignment horizontal="center" vertical="center" wrapText="1"/>
    </xf>
    <xf numFmtId="0" fontId="8" fillId="6" borderId="2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 wrapText="1"/>
    </xf>
    <xf numFmtId="0" fontId="8" fillId="7" borderId="3" xfId="3" applyFont="1" applyFill="1" applyBorder="1" applyAlignment="1">
      <alignment horizontal="center" vertical="center" wrapText="1"/>
    </xf>
    <xf numFmtId="0" fontId="8" fillId="4" borderId="3" xfId="3" applyFont="1" applyFill="1" applyBorder="1" applyAlignment="1">
      <alignment horizontal="center" vertical="center" wrapText="1"/>
    </xf>
    <xf numFmtId="0" fontId="8" fillId="5" borderId="3" xfId="3" applyFont="1" applyFill="1" applyBorder="1" applyAlignment="1">
      <alignment horizontal="center" vertical="center" wrapText="1"/>
    </xf>
    <xf numFmtId="0" fontId="8" fillId="6" borderId="3" xfId="3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16" fillId="0" borderId="0" xfId="0" applyFont="1"/>
    <xf numFmtId="0" fontId="11" fillId="0" borderId="5" xfId="0" applyFont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2" fillId="12" borderId="5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" fillId="0" borderId="0" xfId="0" applyFont="1"/>
    <xf numFmtId="1" fontId="12" fillId="2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9" fillId="3" borderId="2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/>
  </cellXfs>
  <cellStyles count="4">
    <cellStyle name="Normal" xfId="0" builtinId="0"/>
    <cellStyle name="Normal 2" xfId="1" xr:uid="{AA1DCA23-6EF6-4002-B3E7-784EC030EBEB}"/>
    <cellStyle name="Normal 3" xfId="2" xr:uid="{9FFAB514-997E-40BC-BE15-59EFBD956780}"/>
    <cellStyle name="Normal 4" xfId="3" xr:uid="{54B40978-3F5C-4A53-B284-1F12DFE4C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Plate5_Analysis_11_29!$K$2:$K$7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Plate5_Analysis_11_29!$L$2:$L$7</c:f>
              <c:numCache>
                <c:formatCode>General</c:formatCode>
                <c:ptCount val="6"/>
                <c:pt idx="0" formatCode="#,##0.0000">
                  <c:v>-1.4999999999999944E-3</c:v>
                </c:pt>
                <c:pt idx="1">
                  <c:v>1.3500000000000005E-2</c:v>
                </c:pt>
                <c:pt idx="2">
                  <c:v>5.8499999999999996E-2</c:v>
                </c:pt>
                <c:pt idx="3">
                  <c:v>0.10199999999999999</c:v>
                </c:pt>
                <c:pt idx="4">
                  <c:v>0.15400000000000003</c:v>
                </c:pt>
                <c:pt idx="5">
                  <c:v>0.189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6-4CB9-B929-03F207495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Plate4_Analysis_11_29!$K$2:$K$7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Plate4_Analysis_11_29!$L$2:$L$7</c:f>
              <c:numCache>
                <c:formatCode>General</c:formatCode>
                <c:ptCount val="6"/>
                <c:pt idx="0" formatCode="#,##0.0000">
                  <c:v>-1.4999999999999944E-3</c:v>
                </c:pt>
                <c:pt idx="1">
                  <c:v>1.3499999999999998E-2</c:v>
                </c:pt>
                <c:pt idx="2">
                  <c:v>5.1000000000000004E-2</c:v>
                </c:pt>
                <c:pt idx="3">
                  <c:v>0.108</c:v>
                </c:pt>
                <c:pt idx="4">
                  <c:v>0.14050000000000001</c:v>
                </c:pt>
                <c:pt idx="5">
                  <c:v>0.191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13-483F-A6CA-8FDB53549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Plate3_Analysis_11_29!$K$2:$K$7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Plate3_Analysis_11_29!$L$2:$L$7</c:f>
              <c:numCache>
                <c:formatCode>General</c:formatCode>
                <c:ptCount val="6"/>
                <c:pt idx="0" formatCode="#,##0.0000">
                  <c:v>0</c:v>
                </c:pt>
                <c:pt idx="1">
                  <c:v>1.55E-2</c:v>
                </c:pt>
                <c:pt idx="2">
                  <c:v>5.2999999999999999E-2</c:v>
                </c:pt>
                <c:pt idx="3">
                  <c:v>9.7500000000000003E-2</c:v>
                </c:pt>
                <c:pt idx="4">
                  <c:v>0.155</c:v>
                </c:pt>
                <c:pt idx="5">
                  <c:v>0.19499999999999998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C0-41AF-93AB-D3BD4BEF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'Plate2_Analysis_11_27 '!$K$2:$K$7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'Plate2_Analysis_11_27 '!$L$2:$L$7</c:f>
              <c:numCache>
                <c:formatCode>General</c:formatCode>
                <c:ptCount val="6"/>
                <c:pt idx="0" formatCode="#,##0.0000">
                  <c:v>-5.0000000000000044E-4</c:v>
                </c:pt>
                <c:pt idx="1">
                  <c:v>1.4999999999999999E-2</c:v>
                </c:pt>
                <c:pt idx="2">
                  <c:v>4.7500000000000001E-2</c:v>
                </c:pt>
                <c:pt idx="3">
                  <c:v>9.799999999999999E-2</c:v>
                </c:pt>
                <c:pt idx="4">
                  <c:v>0.14400000000000002</c:v>
                </c:pt>
                <c:pt idx="5">
                  <c:v>0.20450000000000002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7-4A04-81E9-C2C70C195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Plate1_Analysis_11_27!$K$2:$K$7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Plate1_Analysis_11_27!$L$2:$L$7</c:f>
              <c:numCache>
                <c:formatCode>General</c:formatCode>
                <c:ptCount val="6"/>
                <c:pt idx="0" formatCode="#,##0.0000">
                  <c:v>1.0000000000000009E-3</c:v>
                </c:pt>
                <c:pt idx="1">
                  <c:v>1.3000000000000005E-2</c:v>
                </c:pt>
                <c:pt idx="2">
                  <c:v>4.9500000000000002E-2</c:v>
                </c:pt>
                <c:pt idx="3">
                  <c:v>9.9500000000000019E-2</c:v>
                </c:pt>
                <c:pt idx="4">
                  <c:v>0.16899999999999998</c:v>
                </c:pt>
                <c:pt idx="5">
                  <c:v>0.24300000000000005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C-49F7-9235-6398D2BEF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'TRIG_11_07_24_Analysis '!$K$2:$K$7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'TRIG_11_07_24_Analysis '!$L$2:$L$7</c:f>
              <c:numCache>
                <c:formatCode>General</c:formatCode>
                <c:ptCount val="6"/>
                <c:pt idx="0" formatCode="#,##0.0000">
                  <c:v>5.0000000000000044E-4</c:v>
                </c:pt>
                <c:pt idx="1">
                  <c:v>1.4999999999999999E-2</c:v>
                </c:pt>
                <c:pt idx="2">
                  <c:v>0.06</c:v>
                </c:pt>
                <c:pt idx="3">
                  <c:v>9.2500000000000013E-2</c:v>
                </c:pt>
                <c:pt idx="4">
                  <c:v>0.16899999999999998</c:v>
                </c:pt>
                <c:pt idx="5">
                  <c:v>0.23049999999999998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5-4144-89AF-AFF1E5555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TRIG_10_24_24_Analysis!$K$2:$K$7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TRIG_10_24_24_Analysis!$L$2:$L$7</c:f>
              <c:numCache>
                <c:formatCode>General</c:formatCode>
                <c:ptCount val="6"/>
                <c:pt idx="0" formatCode="#,##0.0000">
                  <c:v>0</c:v>
                </c:pt>
                <c:pt idx="1">
                  <c:v>4.2499999999999996E-2</c:v>
                </c:pt>
                <c:pt idx="2">
                  <c:v>0.14650000000000002</c:v>
                </c:pt>
                <c:pt idx="3">
                  <c:v>0.28800000000000003</c:v>
                </c:pt>
                <c:pt idx="4">
                  <c:v>0.42699999999999999</c:v>
                </c:pt>
                <c:pt idx="5">
                  <c:v>0.5675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5-4DCB-A4F2-90598D858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TRIG_10_10_24_Analysis!$K$4:$K$8</c:f>
              <c:numCache>
                <c:formatCode>#,##0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 formatCode="General">
                  <c:v>200</c:v>
                </c:pt>
              </c:numCache>
            </c:numRef>
          </c:xVal>
          <c:yVal>
            <c:numRef>
              <c:f>TRIG_10_10_24_Analysis!$L$4:$L$8</c:f>
              <c:numCache>
                <c:formatCode>General</c:formatCode>
                <c:ptCount val="5"/>
                <c:pt idx="0" formatCode="#,##0.0000">
                  <c:v>0</c:v>
                </c:pt>
                <c:pt idx="1">
                  <c:v>0.161</c:v>
                </c:pt>
                <c:pt idx="2">
                  <c:v>0.3</c:v>
                </c:pt>
                <c:pt idx="3">
                  <c:v>0.48549999999999999</c:v>
                </c:pt>
                <c:pt idx="4">
                  <c:v>0.56200000000000006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F-4FF7-BA60-CFBC0C572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020944"/>
        <c:axId val="222021424"/>
      </c:scatterChart>
      <c:valAx>
        <c:axId val="22202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21424"/>
        <c:crosses val="autoZero"/>
        <c:crossBetween val="midCat"/>
      </c:valAx>
      <c:valAx>
        <c:axId val="2220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2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8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1E6AB-D45B-4AA6-8135-A192FA05D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115</xdr:row>
      <xdr:rowOff>0</xdr:rowOff>
    </xdr:from>
    <xdr:to>
      <xdr:col>13</xdr:col>
      <xdr:colOff>76200</xdr:colOff>
      <xdr:row>146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1B517-1C71-4FAC-8BF8-422D0233C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927860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FF60F-071B-4441-9DB2-827791571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A4AC2-99D8-4EC6-9443-90356FAC1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7D720-94A5-4431-A0CA-E02D2CA12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B94D6-87E8-4D4E-B585-7C34FE48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BDA7E-2188-4D8C-B745-2A40891C0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FDF53-35CC-4362-B6D9-FC7EF4E0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5C788-CC9C-420B-968B-B679E19AF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58BD5-900B-4257-A884-F0749C54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85431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75</xdr:row>
      <xdr:rowOff>0</xdr:rowOff>
    </xdr:from>
    <xdr:to>
      <xdr:col>13</xdr:col>
      <xdr:colOff>76200</xdr:colOff>
      <xdr:row>106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CC5E5-0D6A-43CB-96A2-32AE320A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257300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4E4E7-D4C8-487D-9BC6-D418994F5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395654</xdr:colOff>
      <xdr:row>34</xdr:row>
      <xdr:rowOff>117230</xdr:rowOff>
    </xdr:from>
    <xdr:to>
      <xdr:col>9</xdr:col>
      <xdr:colOff>653871</xdr:colOff>
      <xdr:row>60</xdr:row>
      <xdr:rowOff>131005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72D031-0C4E-4597-B32E-F181C3FF7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654" y="6828692"/>
          <a:ext cx="8361794" cy="5347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97</xdr:row>
      <xdr:rowOff>0</xdr:rowOff>
    </xdr:from>
    <xdr:to>
      <xdr:col>13</xdr:col>
      <xdr:colOff>76200</xdr:colOff>
      <xdr:row>128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E2695-F940-4B90-ACAA-7F7DFD9A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6261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94F693-16F9-24BB-A931-A5C760D7E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233121</xdr:colOff>
      <xdr:row>18</xdr:row>
      <xdr:rowOff>121838</xdr:rowOff>
    </xdr:from>
    <xdr:to>
      <xdr:col>27</xdr:col>
      <xdr:colOff>611487</xdr:colOff>
      <xdr:row>45</xdr:row>
      <xdr:rowOff>2568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572659-0759-4024-A400-734548862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4084" y="3508505"/>
          <a:ext cx="8346440" cy="521473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393700</xdr:colOff>
      <xdr:row>0</xdr:row>
      <xdr:rowOff>162112</xdr:rowOff>
    </xdr:from>
    <xdr:to>
      <xdr:col>30</xdr:col>
      <xdr:colOff>348316</xdr:colOff>
      <xdr:row>27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4D457A-81A7-45B5-A414-16C516D98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6500" y="162112"/>
          <a:ext cx="7904816" cy="505123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823232</xdr:colOff>
      <xdr:row>23</xdr:row>
      <xdr:rowOff>97971</xdr:rowOff>
    </xdr:from>
    <xdr:to>
      <xdr:col>15</xdr:col>
      <xdr:colOff>115661</xdr:colOff>
      <xdr:row>36</xdr:row>
      <xdr:rowOff>187778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493C6-1BBA-CEB7-B163-DEB760B2F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120</xdr:row>
      <xdr:rowOff>0</xdr:rowOff>
    </xdr:from>
    <xdr:to>
      <xdr:col>12</xdr:col>
      <xdr:colOff>464671</xdr:colOff>
      <xdr:row>151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5A104-2A09-4EE8-B457-4EF3F955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0284440"/>
          <a:ext cx="785431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7DDA-3030-4948-B7FA-E51E67AEC87A}">
  <dimension ref="A1:Z1000"/>
  <sheetViews>
    <sheetView tabSelected="1" zoomScale="93" zoomScaleNormal="50" workbookViewId="0">
      <selection activeCell="B11" sqref="B11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20.69921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Plate5_RawData_11_29!E49</f>
        <v>4.3999999999999997E-2</v>
      </c>
      <c r="C2" s="20">
        <f>AVERAGE(B2,B3)</f>
        <v>4.3499999999999997E-2</v>
      </c>
      <c r="D2" s="20">
        <f>100*(STDEV(B2,B3)/C2)</f>
        <v>1.6255328303139041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-1.4999999999999944E-3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Plate5_RawData_11_29!E50</f>
        <v>4.2999999999999997E-2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1.3500000000000005E-2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Plate5_RawData_11_29!E101</f>
        <v>4.4999999999999998E-2</v>
      </c>
      <c r="C4" s="20">
        <v>4.2000000000000003E-2</v>
      </c>
      <c r="D4" s="20">
        <f>100*(STDEV(B4,B5)/C4)</f>
        <v>8.4179378712684301</v>
      </c>
      <c r="E4" s="19"/>
      <c r="F4" s="20">
        <f>C4-$C$2</f>
        <v>-1.4999999999999944E-3</v>
      </c>
      <c r="G4" s="19"/>
      <c r="H4" s="20">
        <v>0</v>
      </c>
      <c r="I4" s="19"/>
      <c r="J4" s="19"/>
      <c r="K4" s="21">
        <v>50</v>
      </c>
      <c r="L4" s="20">
        <f>F8</f>
        <v>5.8499999999999996E-2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Plate5_RawData_11_29!E102</f>
        <v>0.05</v>
      </c>
      <c r="C5" s="18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0.10199999999999999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Plate5_RawData_11_29!E103</f>
        <v>5.7000000000000002E-2</v>
      </c>
      <c r="C6" s="20">
        <f>AVERAGE(B6,B7)</f>
        <v>5.7000000000000002E-2</v>
      </c>
      <c r="D6" s="20">
        <f>100*(STDEV(B6,B7)/C6)</f>
        <v>0</v>
      </c>
      <c r="E6" s="19"/>
      <c r="F6" s="20">
        <f>C6-$C$2</f>
        <v>1.3500000000000005E-2</v>
      </c>
      <c r="G6" s="19"/>
      <c r="H6" s="20">
        <v>12.5</v>
      </c>
      <c r="I6" s="19"/>
      <c r="J6" s="19"/>
      <c r="K6" s="21">
        <v>150</v>
      </c>
      <c r="L6" s="20">
        <f>F12</f>
        <v>0.15400000000000003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Plate5_RawData_11_29!E104</f>
        <v>5.7000000000000002E-2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0.189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Plate5_RawData_11_29!E105</f>
        <v>0.10199999999999999</v>
      </c>
      <c r="C8" s="20">
        <f>AVERAGE(B8,B9)</f>
        <v>0.10199999999999999</v>
      </c>
      <c r="D8" s="20">
        <f>100*(STDEV(B8,B9)/C8)</f>
        <v>0</v>
      </c>
      <c r="E8" s="19"/>
      <c r="F8" s="20">
        <f>C8-$C$2</f>
        <v>5.8499999999999996E-2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Plate5_RawData_11_29!E106</f>
        <v>0.10199999999999999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Plate5_RawData_11_29!E107</f>
        <v>0.14099999999999999</v>
      </c>
      <c r="C10" s="20">
        <f>AVERAGE(B10,B11)</f>
        <v>0.14549999999999999</v>
      </c>
      <c r="D10" s="20">
        <f>100*(STDEV(B10,B11)/C10)</f>
        <v>4.3738563784734934</v>
      </c>
      <c r="E10" s="19"/>
      <c r="F10" s="20">
        <f>C10-$C$2</f>
        <v>0.10199999999999999</v>
      </c>
      <c r="G10" s="19"/>
      <c r="H10" s="20">
        <v>100</v>
      </c>
      <c r="I10" s="19"/>
      <c r="J10" s="20"/>
      <c r="K10" s="18" t="s">
        <v>15</v>
      </c>
      <c r="L10" s="20">
        <v>3.8E-3</v>
      </c>
      <c r="M10" s="20"/>
    </row>
    <row r="11" spans="1:26" ht="15.75" customHeight="1" x14ac:dyDescent="0.3">
      <c r="A11" s="20" t="s">
        <v>160</v>
      </c>
      <c r="B11" s="20">
        <f>Plate5_RawData_11_29!E108</f>
        <v>0.15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Plate5_RawData_11_29!E109</f>
        <v>0.19</v>
      </c>
      <c r="C12" s="20">
        <f>AVERAGE(B12,B13)</f>
        <v>0.19750000000000001</v>
      </c>
      <c r="D12" s="20">
        <f>100*(STDEV(B12,B13)/C12)</f>
        <v>5.3704312495180773</v>
      </c>
      <c r="E12" s="19"/>
      <c r="F12" s="20">
        <f>C12-$C$2</f>
        <v>0.15400000000000003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Plate5_RawData_11_29!E110</f>
        <v>0.20499999999999999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Plate5_RawData_11_29!E111</f>
        <v>0.22800000000000001</v>
      </c>
      <c r="C14" s="20">
        <f>AVERAGE(B14,B15)</f>
        <v>0.23249999999999998</v>
      </c>
      <c r="D14" s="20">
        <f>100*(STDEV(B14,B15)/C14)</f>
        <v>2.7371875400769521</v>
      </c>
      <c r="E14" s="19"/>
      <c r="F14" s="20">
        <f>C14-$C$2</f>
        <v>0.189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Plate5_RawData_11_29!E112</f>
        <v>0.23699999999999999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30" t="s">
        <v>169</v>
      </c>
      <c r="B21" s="20">
        <f>Plate5_RawData_11_29!E67</f>
        <v>0.122</v>
      </c>
      <c r="C21" s="24">
        <f>AVERAGE(B21,B22)</f>
        <v>0.124</v>
      </c>
      <c r="D21" s="25">
        <f>100*(STDEV(B21,B22)/C21)</f>
        <v>2.2809896167308006</v>
      </c>
      <c r="E21" s="24">
        <f>C21-$C$2</f>
        <v>8.0500000000000002E-2</v>
      </c>
      <c r="F21" s="24">
        <f>(E21-$L$10)/$L$9</f>
        <v>76.7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Plate5_RawData_11_29!E68</f>
        <v>0.126</v>
      </c>
      <c r="C22" s="24"/>
      <c r="D22" s="25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8" t="s">
        <v>268</v>
      </c>
      <c r="B23" s="20">
        <f>Plate5_RawData_11_29!E69</f>
        <v>0.126</v>
      </c>
      <c r="C23" s="24">
        <f>AVERAGE(B23,B24)</f>
        <v>0.1265</v>
      </c>
      <c r="D23" s="25">
        <f>100*(STDEV(B23,B24)/C23)</f>
        <v>0.55897769263758745</v>
      </c>
      <c r="E23" s="24">
        <f>C23-$C$2</f>
        <v>8.3000000000000004E-2</v>
      </c>
      <c r="F23" s="24">
        <f>(E23-$L$10)/$L$9</f>
        <v>79.2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Plate5_RawData_11_29!E70</f>
        <v>0.127</v>
      </c>
      <c r="C24" s="24"/>
      <c r="D24" s="25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269</v>
      </c>
      <c r="B25" s="20">
        <f>Plate5_RawData_11_29!E71</f>
        <v>0.11899999999999999</v>
      </c>
      <c r="C25" s="25">
        <f>AVERAGE(B25,B26)</f>
        <v>0.124</v>
      </c>
      <c r="D25" s="25">
        <f>100*(STDEV(B25,B26)/C25)</f>
        <v>5.702474041827001</v>
      </c>
      <c r="E25" s="25">
        <f>C25-$C$2</f>
        <v>8.0500000000000002E-2</v>
      </c>
      <c r="F25" s="25">
        <f>(E25-$L$10)/$L$9</f>
        <v>76.7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/>
      <c r="B26" s="20">
        <f>Plate5_RawData_11_29!E72</f>
        <v>0.129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38" t="s">
        <v>271</v>
      </c>
      <c r="B27" s="20">
        <f>Plate5_RawData_11_29!E73</f>
        <v>5.1999999999999998E-2</v>
      </c>
      <c r="C27" s="24">
        <f>AVERAGE(B27,B28)</f>
        <v>5.1999999999999998E-2</v>
      </c>
      <c r="D27" s="25">
        <f>100*(STDEV(B27,B28)/C27)</f>
        <v>0</v>
      </c>
      <c r="E27" s="24">
        <f>C27-$C$2</f>
        <v>8.5000000000000006E-3</v>
      </c>
      <c r="F27" s="24">
        <f>(E27-$L$10)/$L$9</f>
        <v>4.7000000000000011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38"/>
      <c r="B28" s="20">
        <f>Plate5_RawData_11_29!E74</f>
        <v>5.1999999999999998E-2</v>
      </c>
      <c r="C28" s="24"/>
      <c r="D28" s="25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0" t="s">
        <v>272</v>
      </c>
      <c r="B29" s="20">
        <f>Plate5_RawData_11_29!E75</f>
        <v>0.125</v>
      </c>
      <c r="C29" s="25">
        <f>AVERAGE(B29,B30)</f>
        <v>0.1255</v>
      </c>
      <c r="D29" s="25">
        <f>100*(STDEV(B29,B30)/C29)</f>
        <v>0.56343169815661209</v>
      </c>
      <c r="E29" s="24">
        <f>C29-$C$2</f>
        <v>8.2000000000000003E-2</v>
      </c>
      <c r="F29" s="24">
        <f>(E29-$L$10)/$L$9</f>
        <v>78.2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0"/>
      <c r="B30" s="20">
        <f>Plate5_RawData_11_29!E76</f>
        <v>0.126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8" t="s">
        <v>284</v>
      </c>
      <c r="B31" s="20">
        <f>Plate5_RawData_11_29!E77</f>
        <v>0.106</v>
      </c>
      <c r="C31" s="24">
        <f>AVERAGE(B31,B32)</f>
        <v>0.1065</v>
      </c>
      <c r="D31" s="25">
        <f>100*(STDEV(B31,B32)/C31)</f>
        <v>0.66395002928314384</v>
      </c>
      <c r="E31" s="24">
        <f>C31-$C$2</f>
        <v>6.3E-2</v>
      </c>
      <c r="F31" s="24">
        <f>(E31-$L$10)/$L$9</f>
        <v>59.2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Plate5_RawData_11_29!E78</f>
        <v>0.107</v>
      </c>
      <c r="C32" s="24"/>
      <c r="D32" s="25"/>
      <c r="E32" s="24"/>
      <c r="F32" s="24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77" t="s">
        <v>274</v>
      </c>
      <c r="B33" s="20">
        <f>Plate5_RawData_11_29!E79</f>
        <v>0.153</v>
      </c>
      <c r="C33" s="24">
        <f>AVERAGE(B33,B34)</f>
        <v>0.15</v>
      </c>
      <c r="D33" s="25">
        <f>100*(STDEV(B33,B34)/C33)</f>
        <v>2.828427124746193</v>
      </c>
      <c r="E33" s="24">
        <f>C33-$C$2</f>
        <v>0.1065</v>
      </c>
      <c r="F33" s="24">
        <f>(E33-$L$10)/$L$9</f>
        <v>102.7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77"/>
      <c r="B34" s="20">
        <f>Plate5_RawData_11_29!E80</f>
        <v>0.14699999999999999</v>
      </c>
      <c r="C34" s="24"/>
      <c r="D34" s="25"/>
      <c r="E34" s="24"/>
      <c r="F34" s="24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0" t="s">
        <v>276</v>
      </c>
      <c r="B35" s="20">
        <f>Plate5_RawData_11_29!E81</f>
        <v>8.2000000000000003E-2</v>
      </c>
      <c r="C35" s="25">
        <f>AVERAGE(B35,B36)</f>
        <v>8.1500000000000003E-2</v>
      </c>
      <c r="D35" s="25">
        <f>100*(STDEV(B35,B36)/C35)</f>
        <v>0.86761568243748244</v>
      </c>
      <c r="E35" s="25">
        <f>C35-$C$2</f>
        <v>3.8000000000000006E-2</v>
      </c>
      <c r="F35" s="25">
        <f>(E35-$L$10)/$L$9</f>
        <v>34.20000000000001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/>
      <c r="B36" s="20">
        <f>Plate5_RawData_11_29!E82</f>
        <v>8.1000000000000003E-2</v>
      </c>
      <c r="C36" s="25"/>
      <c r="D36" s="25"/>
      <c r="E36" s="25"/>
      <c r="F36" s="2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30" t="s">
        <v>169</v>
      </c>
      <c r="B37" s="20">
        <f>Plate5_RawData_11_29!E83</f>
        <v>0.115</v>
      </c>
      <c r="C37" s="24">
        <f>AVERAGE(B37,B38)</f>
        <v>0.11600000000000001</v>
      </c>
      <c r="D37" s="25">
        <f>100*(STDEV(B37,B38)/C37)</f>
        <v>1.2191496227354277</v>
      </c>
      <c r="E37" s="24">
        <f>C37-$C$2</f>
        <v>7.2500000000000009E-2</v>
      </c>
      <c r="F37" s="24">
        <f>(E37-$L$10)/$L$9</f>
        <v>68.7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30"/>
      <c r="B38" s="20">
        <f>Plate5_RawData_11_29!E84</f>
        <v>0.11700000000000001</v>
      </c>
      <c r="C38" s="24"/>
      <c r="D38" s="25"/>
      <c r="E38" s="24"/>
      <c r="F38" s="2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0" t="s">
        <v>279</v>
      </c>
      <c r="B39" s="20">
        <f>Plate5_RawData_11_29!E85</f>
        <v>6.4000000000000001E-2</v>
      </c>
      <c r="C39" s="25">
        <f>AVERAGE(B39,B40)</f>
        <v>6.4500000000000002E-2</v>
      </c>
      <c r="D39" s="25">
        <f>100*(STDEV(B39,B40)/C39)</f>
        <v>1.0962895832349584</v>
      </c>
      <c r="E39" s="24">
        <f>C39-$C$2</f>
        <v>2.1000000000000005E-2</v>
      </c>
      <c r="F39" s="24">
        <f>(E39-$L$10)/$L$9</f>
        <v>17.200000000000003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0"/>
      <c r="B40" s="20">
        <f>Plate5_RawData_11_29!E86</f>
        <v>6.5000000000000002E-2</v>
      </c>
      <c r="C40" s="25"/>
      <c r="D40" s="25"/>
      <c r="E40" s="25"/>
      <c r="F40" s="2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8" t="s">
        <v>297</v>
      </c>
      <c r="B41" s="20">
        <f>Plate5_RawData_11_29!E87</f>
        <v>0.13400000000000001</v>
      </c>
      <c r="C41" s="24">
        <f>AVERAGE(B41,B42)</f>
        <v>0.13500000000000001</v>
      </c>
      <c r="D41" s="25">
        <f>100*(STDEV(B41,B42)/C41)</f>
        <v>1.047565601757849</v>
      </c>
      <c r="E41" s="24">
        <f>C41-$C$2</f>
        <v>9.1500000000000012E-2</v>
      </c>
      <c r="F41" s="24">
        <f>(E41-$L$10)/$L$9</f>
        <v>87.700000000000017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8"/>
      <c r="B42" s="20">
        <f>Plate5_RawData_11_29!E88</f>
        <v>0.13600000000000001</v>
      </c>
      <c r="C42" s="24"/>
      <c r="D42" s="25"/>
      <c r="E42" s="24"/>
      <c r="F42" s="24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283</v>
      </c>
      <c r="B43" s="20">
        <f>Plate5_RawData_11_29!E89</f>
        <v>8.6999999999999994E-2</v>
      </c>
      <c r="C43" s="24">
        <f>AVERAGE(B43,B44)</f>
        <v>8.3999999999999991E-2</v>
      </c>
      <c r="D43" s="25">
        <f>100*(STDEV(B43,B44)/C43)</f>
        <v>5.0507627227610463</v>
      </c>
      <c r="E43" s="24">
        <f>C43-$C$2</f>
        <v>4.0499999999999994E-2</v>
      </c>
      <c r="F43" s="24">
        <f>(E43-$L$10)/$L$9</f>
        <v>36.699999999999996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Plate5_RawData_11_29!E90</f>
        <v>8.1000000000000003E-2</v>
      </c>
      <c r="C44" s="24"/>
      <c r="D44" s="25"/>
      <c r="E44" s="24"/>
      <c r="F44" s="24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77" t="s">
        <v>298</v>
      </c>
      <c r="B45" s="20">
        <f>Plate5_RawData_11_29!E91</f>
        <v>7.3999999999999996E-2</v>
      </c>
      <c r="C45" s="25">
        <f>AVERAGE(B45,B46)</f>
        <v>7.4999999999999997E-2</v>
      </c>
      <c r="D45" s="25">
        <f>100*(STDEV(B45,B46)/C45)</f>
        <v>1.8856180831641285</v>
      </c>
      <c r="E45" s="25">
        <f>C45-$C$2</f>
        <v>3.15E-2</v>
      </c>
      <c r="F45" s="25">
        <f>(E45-$L$10)/$L$9</f>
        <v>27.7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77"/>
      <c r="B46" s="20">
        <f>Plate5_RawData_11_29!E92</f>
        <v>7.5999999999999998E-2</v>
      </c>
      <c r="C46" s="25"/>
      <c r="D46" s="25"/>
      <c r="E46" s="25"/>
      <c r="F46" s="25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8" t="s">
        <v>286</v>
      </c>
      <c r="B47" s="20">
        <f>Plate5_RawData_11_29!E93</f>
        <v>8.7999999999999995E-2</v>
      </c>
      <c r="C47" s="24">
        <f>AVERAGE(B47,B48)</f>
        <v>8.7499999999999994E-2</v>
      </c>
      <c r="D47" s="25">
        <f>100*(STDEV(B47,B48)/C47)</f>
        <v>0.80812203564176943</v>
      </c>
      <c r="E47" s="24">
        <f>C47-$C$2</f>
        <v>4.3999999999999997E-2</v>
      </c>
      <c r="F47" s="24">
        <f>(E47-$L$10)/$L$9</f>
        <v>40.199999999999996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/>
      <c r="B48" s="20">
        <f>Plate5_RawData_11_29!E94</f>
        <v>8.6999999999999994E-2</v>
      </c>
      <c r="C48" s="24"/>
      <c r="D48" s="25"/>
      <c r="E48" s="24"/>
      <c r="F48" s="2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3">
      <c r="A49" s="30" t="s">
        <v>291</v>
      </c>
      <c r="B49" s="20">
        <f>Plate5_RawData_11_29!E95</f>
        <v>0.159</v>
      </c>
      <c r="C49" s="25">
        <f>AVERAGE(B49,B50)</f>
        <v>0.10150000000000001</v>
      </c>
      <c r="D49" s="32">
        <f>100*(STDEV(B49,B50)/C49)</f>
        <v>80.115546636899467</v>
      </c>
      <c r="E49" s="24">
        <f>C49-$C$2</f>
        <v>5.800000000000001E-2</v>
      </c>
      <c r="F49" s="24">
        <f>(E49-$L$10)/$L$9</f>
        <v>54.20000000000001</v>
      </c>
      <c r="H49" s="20"/>
      <c r="I49" s="90" t="s">
        <v>360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3">
      <c r="A50" s="30"/>
      <c r="B50" s="20">
        <f>Plate5_RawData_11_29!E96</f>
        <v>4.3999999999999997E-2</v>
      </c>
      <c r="C50" s="25"/>
      <c r="D50" s="25"/>
      <c r="E50" s="25"/>
      <c r="F50" s="2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3">
      <c r="A51" s="30" t="s">
        <v>294</v>
      </c>
      <c r="B51" s="20">
        <f>Plate5_RawData_11_29!E97</f>
        <v>0.186</v>
      </c>
      <c r="C51" s="24">
        <f>AVERAGE(B51,B52)</f>
        <v>0.1865</v>
      </c>
      <c r="D51" s="25">
        <f>100*(STDEV(B51,B52)/C51)</f>
        <v>0.37914572717777384</v>
      </c>
      <c r="E51" s="24">
        <f>C51-$C$2</f>
        <v>0.14300000000000002</v>
      </c>
      <c r="F51" s="24">
        <f>(E51-$L$10)/$L$9</f>
        <v>139.20000000000002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3">
      <c r="A52" s="30"/>
      <c r="B52" s="20">
        <f>Plate5_RawData_11_29!E98</f>
        <v>0.187</v>
      </c>
      <c r="C52" s="24"/>
      <c r="D52" s="25"/>
      <c r="E52" s="24"/>
      <c r="F52" s="2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3">
      <c r="A53" s="77" t="s">
        <v>170</v>
      </c>
      <c r="B53" s="20">
        <f>Plate5_RawData_11_29!E99</f>
        <v>0.115</v>
      </c>
      <c r="C53" s="24">
        <f>AVERAGE(B53,B54)</f>
        <v>0.10350000000000001</v>
      </c>
      <c r="D53" s="32">
        <f>100*(STDEV(B53,B54)/C53)</f>
        <v>15.713484026367642</v>
      </c>
      <c r="E53" s="24">
        <f>C53-$C$2</f>
        <v>6.0000000000000012E-2</v>
      </c>
      <c r="F53" s="24">
        <f>(E53-$L$10)/$L$9</f>
        <v>56.20000000000001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3">
      <c r="A54" s="77"/>
      <c r="B54" s="20">
        <f>Plate5_RawData_11_29!E100</f>
        <v>9.1999999999999998E-2</v>
      </c>
      <c r="C54" s="24"/>
      <c r="D54" s="25"/>
      <c r="E54" s="24"/>
      <c r="F54" s="2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3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spans="1:26" ht="15.75" customHeight="1" x14ac:dyDescent="0.3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spans="1:26" ht="15.7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spans="1:26" ht="15.7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19"/>
    </row>
    <row r="59" spans="1:26" ht="15.7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9"/>
    </row>
    <row r="60" spans="1:26" ht="15.7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1:26" ht="15.7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26" ht="15.7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1:26" ht="15.7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spans="1:26" ht="15.7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spans="1:20" ht="15.75" customHeight="1" x14ac:dyDescent="0.3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spans="1:20" ht="15.75" customHeight="1" x14ac:dyDescent="0.3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1:20" ht="15.75" customHeight="1" x14ac:dyDescent="0.3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ht="15.75" customHeight="1" x14ac:dyDescent="0.3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ht="15.75" customHeight="1" x14ac:dyDescent="0.3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spans="1:20" ht="15.7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20" ht="15.7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1:20" ht="15.7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spans="1:20" ht="15.7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 spans="1:20" ht="15.7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20" ht="15.7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20" ht="15.7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20" ht="15.7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spans="1:20" ht="15.7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spans="1:20" ht="15.7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1:20" ht="15.7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1:14" ht="15.7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 spans="1:14" ht="15.7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spans="1:14" ht="15.7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 spans="1:14" ht="15.7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ht="15.7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ht="15.75" customHeigh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ht="15.75" customHeight="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ht="15.75" customHeigh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ht="15.75" customHeight="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ht="15.75" customHeight="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ht="15.75" customHeight="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ht="15.75" customHeight="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ht="15.75" customHeight="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ht="15.75" customHeight="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ht="15.7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ht="15.75" customHeight="1" x14ac:dyDescent="0.3">
      <c r="A96" s="20"/>
      <c r="B96" s="20"/>
      <c r="C96" s="20"/>
      <c r="D96" s="20"/>
      <c r="E96" s="20"/>
      <c r="F96" s="20"/>
      <c r="G96" s="20"/>
    </row>
    <row r="97" spans="1:26" ht="15.75" customHeight="1" x14ac:dyDescent="0.3">
      <c r="A97" s="20"/>
      <c r="B97" s="20"/>
      <c r="C97" s="20"/>
      <c r="D97" s="20"/>
      <c r="E97" s="20"/>
      <c r="F97" s="20"/>
      <c r="G97" s="20"/>
    </row>
    <row r="98" spans="1:26" ht="15.75" customHeight="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26" ht="15.75" customHeight="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B017-D95E-4669-AE1F-5B19D1D51905}">
  <dimension ref="A2:O290"/>
  <sheetViews>
    <sheetView topLeftCell="A55" workbookViewId="0">
      <selection activeCell="E67" sqref="E67"/>
    </sheetView>
  </sheetViews>
  <sheetFormatPr defaultRowHeight="13.2" x14ac:dyDescent="0.25"/>
  <cols>
    <col min="1" max="1" width="18.59765625" style="60" customWidth="1"/>
    <col min="2" max="2" width="11.3984375" style="60" customWidth="1"/>
    <col min="3" max="16384" width="8.796875" style="60"/>
  </cols>
  <sheetData>
    <row r="2" spans="1:2" x14ac:dyDescent="0.25">
      <c r="A2" s="60" t="s">
        <v>16</v>
      </c>
      <c r="B2" s="60" t="s">
        <v>17</v>
      </c>
    </row>
    <row r="4" spans="1:2" x14ac:dyDescent="0.25">
      <c r="A4" s="60" t="s">
        <v>18</v>
      </c>
      <c r="B4" s="60" t="s">
        <v>390</v>
      </c>
    </row>
    <row r="5" spans="1:2" x14ac:dyDescent="0.25">
      <c r="A5" s="60" t="s">
        <v>19</v>
      </c>
      <c r="B5" s="60" t="s">
        <v>189</v>
      </c>
    </row>
    <row r="6" spans="1:2" x14ac:dyDescent="0.25">
      <c r="A6" s="60" t="s">
        <v>20</v>
      </c>
      <c r="B6" s="60" t="s">
        <v>21</v>
      </c>
    </row>
    <row r="7" spans="1:2" x14ac:dyDescent="0.25">
      <c r="A7" s="60" t="s">
        <v>1</v>
      </c>
      <c r="B7" s="61">
        <v>45625</v>
      </c>
    </row>
    <row r="8" spans="1:2" x14ac:dyDescent="0.25">
      <c r="A8" s="60" t="s">
        <v>22</v>
      </c>
      <c r="B8" s="62">
        <v>0.92414351851851861</v>
      </c>
    </row>
    <row r="9" spans="1:2" x14ac:dyDescent="0.25">
      <c r="A9" s="60" t="s">
        <v>23</v>
      </c>
      <c r="B9" s="60" t="s">
        <v>101</v>
      </c>
    </row>
    <row r="10" spans="1:2" x14ac:dyDescent="0.25">
      <c r="A10" s="60" t="s">
        <v>24</v>
      </c>
      <c r="B10" s="60">
        <v>13081218</v>
      </c>
    </row>
    <row r="11" spans="1:2" x14ac:dyDescent="0.25">
      <c r="A11" s="60" t="s">
        <v>25</v>
      </c>
      <c r="B11" s="60" t="s">
        <v>26</v>
      </c>
    </row>
    <row r="13" spans="1:2" x14ac:dyDescent="0.25">
      <c r="A13" s="63" t="s">
        <v>27</v>
      </c>
      <c r="B13" s="64"/>
    </row>
    <row r="14" spans="1:2" x14ac:dyDescent="0.25">
      <c r="A14" s="60" t="s">
        <v>28</v>
      </c>
      <c r="B14" s="60" t="s">
        <v>29</v>
      </c>
    </row>
    <row r="15" spans="1:2" x14ac:dyDescent="0.25">
      <c r="A15" s="60" t="s">
        <v>30</v>
      </c>
    </row>
    <row r="16" spans="1:2" x14ac:dyDescent="0.25">
      <c r="A16" s="60" t="s">
        <v>31</v>
      </c>
      <c r="B16" s="60" t="s">
        <v>32</v>
      </c>
    </row>
    <row r="17" spans="1:15" x14ac:dyDescent="0.25">
      <c r="B17" s="60" t="s">
        <v>33</v>
      </c>
    </row>
    <row r="18" spans="1:15" x14ac:dyDescent="0.25">
      <c r="B18" s="60" t="s">
        <v>96</v>
      </c>
    </row>
    <row r="19" spans="1:15" x14ac:dyDescent="0.25">
      <c r="B19" s="60" t="s">
        <v>97</v>
      </c>
    </row>
    <row r="21" spans="1:15" x14ac:dyDescent="0.25">
      <c r="A21" s="63" t="s">
        <v>34</v>
      </c>
      <c r="B21" s="64"/>
    </row>
    <row r="23" spans="1:15" x14ac:dyDescent="0.25">
      <c r="B23" s="65"/>
      <c r="C23" s="66">
        <v>1</v>
      </c>
      <c r="D23" s="66">
        <v>2</v>
      </c>
      <c r="E23" s="66">
        <v>3</v>
      </c>
      <c r="F23" s="66">
        <v>4</v>
      </c>
      <c r="G23" s="66">
        <v>5</v>
      </c>
      <c r="H23" s="66">
        <v>6</v>
      </c>
      <c r="I23" s="66">
        <v>7</v>
      </c>
      <c r="J23" s="66">
        <v>8</v>
      </c>
      <c r="K23" s="66">
        <v>9</v>
      </c>
      <c r="L23" s="66">
        <v>10</v>
      </c>
      <c r="M23" s="66">
        <v>11</v>
      </c>
      <c r="N23" s="66">
        <v>12</v>
      </c>
    </row>
    <row r="24" spans="1:15" x14ac:dyDescent="0.25">
      <c r="B24" s="93" t="s">
        <v>35</v>
      </c>
      <c r="C24" s="67" t="s">
        <v>36</v>
      </c>
      <c r="D24" s="68" t="s">
        <v>102</v>
      </c>
      <c r="E24" s="69" t="s">
        <v>50</v>
      </c>
      <c r="F24" s="69" t="s">
        <v>51</v>
      </c>
      <c r="G24" s="67" t="s">
        <v>36</v>
      </c>
      <c r="H24" s="69" t="s">
        <v>131</v>
      </c>
      <c r="I24" s="67" t="s">
        <v>36</v>
      </c>
      <c r="J24" s="69" t="s">
        <v>195</v>
      </c>
      <c r="K24" s="70"/>
      <c r="L24" s="70"/>
      <c r="M24" s="70"/>
      <c r="N24" s="70"/>
      <c r="O24" s="71" t="s">
        <v>39</v>
      </c>
    </row>
    <row r="25" spans="1:15" x14ac:dyDescent="0.25">
      <c r="B25" s="94"/>
      <c r="C25" s="72"/>
      <c r="D25" s="73">
        <v>100</v>
      </c>
      <c r="E25" s="74"/>
      <c r="F25" s="74"/>
      <c r="G25" s="72"/>
      <c r="H25" s="74"/>
      <c r="I25" s="72"/>
      <c r="J25" s="74"/>
      <c r="K25" s="75"/>
      <c r="L25" s="75"/>
      <c r="M25" s="75"/>
      <c r="N25" s="75"/>
      <c r="O25" s="71" t="s">
        <v>40</v>
      </c>
    </row>
    <row r="26" spans="1:15" x14ac:dyDescent="0.25">
      <c r="B26" s="93" t="s">
        <v>41</v>
      </c>
      <c r="C26" s="67" t="s">
        <v>36</v>
      </c>
      <c r="D26" s="68" t="s">
        <v>102</v>
      </c>
      <c r="E26" s="69" t="s">
        <v>50</v>
      </c>
      <c r="F26" s="69" t="s">
        <v>51</v>
      </c>
      <c r="G26" s="67" t="s">
        <v>36</v>
      </c>
      <c r="H26" s="69" t="s">
        <v>131</v>
      </c>
      <c r="I26" s="67" t="s">
        <v>36</v>
      </c>
      <c r="J26" s="69" t="s">
        <v>195</v>
      </c>
      <c r="K26" s="70"/>
      <c r="L26" s="70"/>
      <c r="M26" s="70"/>
      <c r="N26" s="70"/>
      <c r="O26" s="71" t="s">
        <v>39</v>
      </c>
    </row>
    <row r="27" spans="1:15" x14ac:dyDescent="0.25">
      <c r="B27" s="94"/>
      <c r="C27" s="72"/>
      <c r="D27" s="73">
        <v>100</v>
      </c>
      <c r="E27" s="74"/>
      <c r="F27" s="74"/>
      <c r="G27" s="72"/>
      <c r="H27" s="74"/>
      <c r="I27" s="72"/>
      <c r="J27" s="74"/>
      <c r="K27" s="75"/>
      <c r="L27" s="75"/>
      <c r="M27" s="75"/>
      <c r="N27" s="75"/>
      <c r="O27" s="71" t="s">
        <v>40</v>
      </c>
    </row>
    <row r="28" spans="1:15" x14ac:dyDescent="0.25">
      <c r="B28" s="93" t="s">
        <v>42</v>
      </c>
      <c r="C28" s="68" t="s">
        <v>98</v>
      </c>
      <c r="D28" s="68" t="s">
        <v>55</v>
      </c>
      <c r="E28" s="69" t="s">
        <v>56</v>
      </c>
      <c r="F28" s="69" t="s">
        <v>57</v>
      </c>
      <c r="G28" s="69" t="s">
        <v>132</v>
      </c>
      <c r="H28" s="67" t="s">
        <v>36</v>
      </c>
      <c r="I28" s="69" t="s">
        <v>200</v>
      </c>
      <c r="J28" s="69" t="s">
        <v>201</v>
      </c>
      <c r="K28" s="70"/>
      <c r="L28" s="70"/>
      <c r="M28" s="70"/>
      <c r="N28" s="70"/>
      <c r="O28" s="71" t="s">
        <v>39</v>
      </c>
    </row>
    <row r="29" spans="1:15" x14ac:dyDescent="0.25">
      <c r="B29" s="94"/>
      <c r="C29" s="73">
        <v>0</v>
      </c>
      <c r="D29" s="73">
        <v>150</v>
      </c>
      <c r="E29" s="74"/>
      <c r="F29" s="74"/>
      <c r="G29" s="74"/>
      <c r="H29" s="72"/>
      <c r="I29" s="74"/>
      <c r="J29" s="74"/>
      <c r="K29" s="75"/>
      <c r="L29" s="75"/>
      <c r="M29" s="75"/>
      <c r="N29" s="75"/>
      <c r="O29" s="71" t="s">
        <v>40</v>
      </c>
    </row>
    <row r="30" spans="1:15" x14ac:dyDescent="0.25">
      <c r="B30" s="93" t="s">
        <v>47</v>
      </c>
      <c r="C30" s="68" t="s">
        <v>98</v>
      </c>
      <c r="D30" s="68" t="s">
        <v>55</v>
      </c>
      <c r="E30" s="69" t="s">
        <v>56</v>
      </c>
      <c r="F30" s="69" t="s">
        <v>57</v>
      </c>
      <c r="G30" s="69" t="s">
        <v>132</v>
      </c>
      <c r="H30" s="67" t="s">
        <v>36</v>
      </c>
      <c r="I30" s="69" t="s">
        <v>200</v>
      </c>
      <c r="J30" s="69" t="s">
        <v>201</v>
      </c>
      <c r="K30" s="70"/>
      <c r="L30" s="70"/>
      <c r="M30" s="70"/>
      <c r="N30" s="70"/>
      <c r="O30" s="71" t="s">
        <v>39</v>
      </c>
    </row>
    <row r="31" spans="1:15" x14ac:dyDescent="0.25">
      <c r="B31" s="94"/>
      <c r="C31" s="73">
        <v>0</v>
      </c>
      <c r="D31" s="73">
        <v>150</v>
      </c>
      <c r="E31" s="74"/>
      <c r="F31" s="74"/>
      <c r="G31" s="74"/>
      <c r="H31" s="72"/>
      <c r="I31" s="74"/>
      <c r="J31" s="74"/>
      <c r="K31" s="75"/>
      <c r="L31" s="75"/>
      <c r="M31" s="75"/>
      <c r="N31" s="75"/>
      <c r="O31" s="71" t="s">
        <v>40</v>
      </c>
    </row>
    <row r="32" spans="1:15" x14ac:dyDescent="0.25">
      <c r="B32" s="93" t="s">
        <v>48</v>
      </c>
      <c r="C32" s="68" t="s">
        <v>43</v>
      </c>
      <c r="D32" s="68" t="s">
        <v>134</v>
      </c>
      <c r="E32" s="67" t="s">
        <v>36</v>
      </c>
      <c r="F32" s="69" t="s">
        <v>38</v>
      </c>
      <c r="G32" s="69" t="s">
        <v>135</v>
      </c>
      <c r="H32" s="69" t="s">
        <v>136</v>
      </c>
      <c r="I32" s="67" t="s">
        <v>36</v>
      </c>
      <c r="J32" s="69" t="s">
        <v>207</v>
      </c>
      <c r="K32" s="70"/>
      <c r="L32" s="70"/>
      <c r="M32" s="70"/>
      <c r="N32" s="70"/>
      <c r="O32" s="71" t="s">
        <v>39</v>
      </c>
    </row>
    <row r="33" spans="1:15" x14ac:dyDescent="0.25">
      <c r="B33" s="94"/>
      <c r="C33" s="73">
        <v>12.5</v>
      </c>
      <c r="D33" s="73">
        <v>200</v>
      </c>
      <c r="E33" s="72"/>
      <c r="F33" s="74"/>
      <c r="G33" s="74"/>
      <c r="H33" s="74"/>
      <c r="I33" s="72"/>
      <c r="J33" s="74"/>
      <c r="K33" s="75"/>
      <c r="L33" s="75"/>
      <c r="M33" s="75"/>
      <c r="N33" s="75"/>
      <c r="O33" s="71" t="s">
        <v>40</v>
      </c>
    </row>
    <row r="34" spans="1:15" x14ac:dyDescent="0.25">
      <c r="B34" s="93" t="s">
        <v>53</v>
      </c>
      <c r="C34" s="68" t="s">
        <v>43</v>
      </c>
      <c r="D34" s="68" t="s">
        <v>134</v>
      </c>
      <c r="E34" s="67" t="s">
        <v>36</v>
      </c>
      <c r="F34" s="69" t="s">
        <v>38</v>
      </c>
      <c r="G34" s="69" t="s">
        <v>135</v>
      </c>
      <c r="H34" s="69" t="s">
        <v>136</v>
      </c>
      <c r="I34" s="67" t="s">
        <v>36</v>
      </c>
      <c r="J34" s="69" t="s">
        <v>207</v>
      </c>
      <c r="K34" s="70"/>
      <c r="L34" s="70"/>
      <c r="M34" s="70"/>
      <c r="N34" s="70"/>
      <c r="O34" s="71" t="s">
        <v>39</v>
      </c>
    </row>
    <row r="35" spans="1:15" x14ac:dyDescent="0.25">
      <c r="B35" s="94"/>
      <c r="C35" s="73">
        <v>12.5</v>
      </c>
      <c r="D35" s="73">
        <v>200</v>
      </c>
      <c r="E35" s="72"/>
      <c r="F35" s="74"/>
      <c r="G35" s="74"/>
      <c r="H35" s="74"/>
      <c r="I35" s="72"/>
      <c r="J35" s="74"/>
      <c r="K35" s="75"/>
      <c r="L35" s="75"/>
      <c r="M35" s="75"/>
      <c r="N35" s="75"/>
      <c r="O35" s="71" t="s">
        <v>40</v>
      </c>
    </row>
    <row r="36" spans="1:15" x14ac:dyDescent="0.25">
      <c r="B36" s="93" t="s">
        <v>54</v>
      </c>
      <c r="C36" s="68" t="s">
        <v>49</v>
      </c>
      <c r="D36" s="69" t="s">
        <v>44</v>
      </c>
      <c r="E36" s="67" t="s">
        <v>36</v>
      </c>
      <c r="F36" s="69" t="s">
        <v>46</v>
      </c>
      <c r="G36" s="67" t="s">
        <v>36</v>
      </c>
      <c r="H36" s="67" t="s">
        <v>36</v>
      </c>
      <c r="I36" s="69" t="s">
        <v>212</v>
      </c>
      <c r="J36" s="69" t="s">
        <v>213</v>
      </c>
      <c r="K36" s="70"/>
      <c r="L36" s="70"/>
      <c r="M36" s="70"/>
      <c r="N36" s="70"/>
      <c r="O36" s="71" t="s">
        <v>39</v>
      </c>
    </row>
    <row r="37" spans="1:15" x14ac:dyDescent="0.25">
      <c r="B37" s="94"/>
      <c r="C37" s="73">
        <v>50</v>
      </c>
      <c r="D37" s="74"/>
      <c r="E37" s="72"/>
      <c r="F37" s="74"/>
      <c r="G37" s="72"/>
      <c r="H37" s="72"/>
      <c r="I37" s="74"/>
      <c r="J37" s="74"/>
      <c r="K37" s="75"/>
      <c r="L37" s="75"/>
      <c r="M37" s="75"/>
      <c r="N37" s="75"/>
      <c r="O37" s="71" t="s">
        <v>40</v>
      </c>
    </row>
    <row r="38" spans="1:15" x14ac:dyDescent="0.25">
      <c r="B38" s="93" t="s">
        <v>58</v>
      </c>
      <c r="C38" s="68" t="s">
        <v>49</v>
      </c>
      <c r="D38" s="69" t="s">
        <v>44</v>
      </c>
      <c r="E38" s="67" t="s">
        <v>36</v>
      </c>
      <c r="F38" s="69" t="s">
        <v>46</v>
      </c>
      <c r="G38" s="67" t="s">
        <v>36</v>
      </c>
      <c r="H38" s="67" t="s">
        <v>36</v>
      </c>
      <c r="I38" s="69" t="s">
        <v>212</v>
      </c>
      <c r="J38" s="69" t="s">
        <v>213</v>
      </c>
      <c r="K38" s="70"/>
      <c r="L38" s="70"/>
      <c r="M38" s="70"/>
      <c r="N38" s="70"/>
      <c r="O38" s="71" t="s">
        <v>39</v>
      </c>
    </row>
    <row r="39" spans="1:15" x14ac:dyDescent="0.25">
      <c r="B39" s="94"/>
      <c r="C39" s="73">
        <v>50</v>
      </c>
      <c r="D39" s="74"/>
      <c r="E39" s="72"/>
      <c r="F39" s="74"/>
      <c r="G39" s="72"/>
      <c r="H39" s="72"/>
      <c r="I39" s="74"/>
      <c r="J39" s="74"/>
      <c r="K39" s="75"/>
      <c r="L39" s="75"/>
      <c r="M39" s="75"/>
      <c r="N39" s="75"/>
      <c r="O39" s="71" t="s">
        <v>40</v>
      </c>
    </row>
    <row r="41" spans="1:15" x14ac:dyDescent="0.25">
      <c r="A41" s="63">
        <v>500</v>
      </c>
      <c r="B41" s="64"/>
    </row>
    <row r="42" spans="1:15" x14ac:dyDescent="0.25">
      <c r="A42" s="60" t="s">
        <v>59</v>
      </c>
      <c r="B42" s="60">
        <v>26.5</v>
      </c>
    </row>
    <row r="43" spans="1:15" x14ac:dyDescent="0.25">
      <c r="A43" s="60" t="s">
        <v>59</v>
      </c>
      <c r="B43" s="60">
        <v>26.5</v>
      </c>
    </row>
    <row r="44" spans="1:15" x14ac:dyDescent="0.25">
      <c r="A44" s="60" t="s">
        <v>59</v>
      </c>
      <c r="B44" s="60">
        <v>26.5</v>
      </c>
    </row>
    <row r="45" spans="1:15" x14ac:dyDescent="0.25">
      <c r="A45" s="60" t="s">
        <v>59</v>
      </c>
      <c r="B45" s="60">
        <v>26.5</v>
      </c>
    </row>
    <row r="46" spans="1:15" x14ac:dyDescent="0.25">
      <c r="A46" s="60" t="s">
        <v>59</v>
      </c>
      <c r="B46" s="60">
        <v>26.5</v>
      </c>
    </row>
    <row r="48" spans="1:15" x14ac:dyDescent="0.25">
      <c r="B48" s="66" t="s">
        <v>39</v>
      </c>
      <c r="C48" s="66" t="s">
        <v>60</v>
      </c>
      <c r="D48" s="66" t="s">
        <v>40</v>
      </c>
      <c r="E48" s="66">
        <v>500</v>
      </c>
      <c r="F48" s="66" t="s">
        <v>61</v>
      </c>
      <c r="G48" s="66" t="s">
        <v>4</v>
      </c>
      <c r="H48" s="66" t="s">
        <v>62</v>
      </c>
      <c r="I48" s="66" t="s">
        <v>63</v>
      </c>
    </row>
    <row r="49" spans="2:9" x14ac:dyDescent="0.25">
      <c r="B49" s="76" t="s">
        <v>36</v>
      </c>
      <c r="C49" s="76" t="s">
        <v>64</v>
      </c>
      <c r="D49" s="76"/>
      <c r="E49" s="76">
        <v>4.3999999999999997E-2</v>
      </c>
      <c r="F49" s="76">
        <v>18</v>
      </c>
      <c r="G49" s="76">
        <v>4.3999999999999997E-2</v>
      </c>
      <c r="H49" s="76">
        <v>2E-3</v>
      </c>
      <c r="I49" s="76">
        <v>4.5030000000000001</v>
      </c>
    </row>
    <row r="50" spans="2:9" x14ac:dyDescent="0.25">
      <c r="B50" s="76"/>
      <c r="C50" s="76" t="s">
        <v>65</v>
      </c>
      <c r="D50" s="76"/>
      <c r="E50" s="76">
        <v>4.2999999999999997E-2</v>
      </c>
      <c r="F50" s="76"/>
      <c r="G50" s="76"/>
      <c r="H50" s="76"/>
      <c r="I50" s="76"/>
    </row>
    <row r="51" spans="2:9" x14ac:dyDescent="0.25">
      <c r="B51" s="76"/>
      <c r="C51" s="76" t="s">
        <v>76</v>
      </c>
      <c r="D51" s="76"/>
      <c r="E51" s="76">
        <v>4.2999999999999997E-2</v>
      </c>
      <c r="F51" s="76"/>
      <c r="G51" s="76"/>
      <c r="H51" s="76"/>
      <c r="I51" s="76"/>
    </row>
    <row r="52" spans="2:9" x14ac:dyDescent="0.25">
      <c r="B52" s="76"/>
      <c r="C52" s="76" t="s">
        <v>77</v>
      </c>
      <c r="D52" s="76"/>
      <c r="E52" s="76">
        <v>4.2999999999999997E-2</v>
      </c>
      <c r="F52" s="76"/>
      <c r="G52" s="76"/>
      <c r="H52" s="76"/>
      <c r="I52" s="76"/>
    </row>
    <row r="53" spans="2:9" x14ac:dyDescent="0.25">
      <c r="B53" s="76"/>
      <c r="C53" s="76" t="s">
        <v>78</v>
      </c>
      <c r="D53" s="76"/>
      <c r="E53" s="76">
        <v>4.2999999999999997E-2</v>
      </c>
      <c r="F53" s="76"/>
      <c r="G53" s="76"/>
      <c r="H53" s="76"/>
      <c r="I53" s="76"/>
    </row>
    <row r="54" spans="2:9" x14ac:dyDescent="0.25">
      <c r="B54" s="76"/>
      <c r="C54" s="76" t="s">
        <v>79</v>
      </c>
      <c r="D54" s="76"/>
      <c r="E54" s="76">
        <v>4.2999999999999997E-2</v>
      </c>
      <c r="F54" s="76"/>
      <c r="G54" s="76"/>
      <c r="H54" s="76"/>
      <c r="I54" s="76"/>
    </row>
    <row r="55" spans="2:9" x14ac:dyDescent="0.25">
      <c r="B55" s="76"/>
      <c r="C55" s="76" t="s">
        <v>139</v>
      </c>
      <c r="D55" s="76"/>
      <c r="E55" s="76">
        <v>4.2999999999999997E-2</v>
      </c>
      <c r="F55" s="76"/>
      <c r="G55" s="76"/>
      <c r="H55" s="76"/>
      <c r="I55" s="76"/>
    </row>
    <row r="56" spans="2:9" x14ac:dyDescent="0.25">
      <c r="B56" s="76"/>
      <c r="C56" s="76" t="s">
        <v>140</v>
      </c>
      <c r="D56" s="76"/>
      <c r="E56" s="76">
        <v>4.2999999999999997E-2</v>
      </c>
      <c r="F56" s="76"/>
      <c r="G56" s="76"/>
      <c r="H56" s="76"/>
      <c r="I56" s="76"/>
    </row>
    <row r="57" spans="2:9" x14ac:dyDescent="0.25">
      <c r="B57" s="76"/>
      <c r="C57" s="76" t="s">
        <v>145</v>
      </c>
      <c r="D57" s="76"/>
      <c r="E57" s="76">
        <v>4.3999999999999997E-2</v>
      </c>
      <c r="F57" s="76"/>
      <c r="G57" s="76"/>
      <c r="H57" s="76"/>
      <c r="I57" s="76"/>
    </row>
    <row r="58" spans="2:9" x14ac:dyDescent="0.25">
      <c r="B58" s="76"/>
      <c r="C58" s="76" t="s">
        <v>146</v>
      </c>
      <c r="D58" s="76"/>
      <c r="E58" s="76">
        <v>4.2999999999999997E-2</v>
      </c>
      <c r="F58" s="76"/>
      <c r="G58" s="76"/>
      <c r="H58" s="76"/>
      <c r="I58" s="76"/>
    </row>
    <row r="59" spans="2:9" x14ac:dyDescent="0.25">
      <c r="B59" s="76"/>
      <c r="C59" s="76" t="s">
        <v>153</v>
      </c>
      <c r="D59" s="76"/>
      <c r="E59" s="76">
        <v>4.5999999999999999E-2</v>
      </c>
      <c r="F59" s="76"/>
      <c r="G59" s="76"/>
      <c r="H59" s="76"/>
      <c r="I59" s="76"/>
    </row>
    <row r="60" spans="2:9" x14ac:dyDescent="0.25">
      <c r="B60" s="76"/>
      <c r="C60" s="76" t="s">
        <v>154</v>
      </c>
      <c r="D60" s="76"/>
      <c r="E60" s="76">
        <v>4.3999999999999997E-2</v>
      </c>
      <c r="F60" s="76"/>
      <c r="G60" s="76"/>
      <c r="H60" s="76"/>
      <c r="I60" s="76"/>
    </row>
    <row r="61" spans="2:9" x14ac:dyDescent="0.25">
      <c r="B61" s="76"/>
      <c r="C61" s="76" t="s">
        <v>149</v>
      </c>
      <c r="D61" s="76"/>
      <c r="E61" s="76">
        <v>4.2999999999999997E-2</v>
      </c>
      <c r="F61" s="76"/>
      <c r="G61" s="76"/>
      <c r="H61" s="76"/>
      <c r="I61" s="76"/>
    </row>
    <row r="62" spans="2:9" x14ac:dyDescent="0.25">
      <c r="B62" s="76"/>
      <c r="C62" s="76" t="s">
        <v>150</v>
      </c>
      <c r="D62" s="76"/>
      <c r="E62" s="76">
        <v>4.2999999999999997E-2</v>
      </c>
      <c r="F62" s="76"/>
      <c r="G62" s="76"/>
      <c r="H62" s="76"/>
      <c r="I62" s="76"/>
    </row>
    <row r="63" spans="2:9" x14ac:dyDescent="0.25">
      <c r="B63" s="76"/>
      <c r="C63" s="76" t="s">
        <v>218</v>
      </c>
      <c r="D63" s="76"/>
      <c r="E63" s="76">
        <v>4.7E-2</v>
      </c>
      <c r="F63" s="76"/>
      <c r="G63" s="76"/>
      <c r="H63" s="76"/>
      <c r="I63" s="76"/>
    </row>
    <row r="64" spans="2:9" x14ac:dyDescent="0.25">
      <c r="B64" s="76"/>
      <c r="C64" s="76" t="s">
        <v>219</v>
      </c>
      <c r="D64" s="76"/>
      <c r="E64" s="76">
        <v>4.2999999999999997E-2</v>
      </c>
      <c r="F64" s="76"/>
      <c r="G64" s="76"/>
      <c r="H64" s="76"/>
      <c r="I64" s="76"/>
    </row>
    <row r="65" spans="2:9" x14ac:dyDescent="0.25">
      <c r="B65" s="76"/>
      <c r="C65" s="76" t="s">
        <v>222</v>
      </c>
      <c r="D65" s="76"/>
      <c r="E65" s="76">
        <v>0.05</v>
      </c>
      <c r="F65" s="76"/>
      <c r="G65" s="76"/>
      <c r="H65" s="76"/>
      <c r="I65" s="76"/>
    </row>
    <row r="66" spans="2:9" x14ac:dyDescent="0.25">
      <c r="B66" s="76"/>
      <c r="C66" s="76" t="s">
        <v>223</v>
      </c>
      <c r="D66" s="76"/>
      <c r="E66" s="76">
        <v>4.3999999999999997E-2</v>
      </c>
      <c r="F66" s="76"/>
      <c r="G66" s="76"/>
      <c r="H66" s="76"/>
      <c r="I66" s="76"/>
    </row>
    <row r="67" spans="2:9" x14ac:dyDescent="0.25">
      <c r="B67" s="76" t="s">
        <v>44</v>
      </c>
      <c r="C67" s="76" t="s">
        <v>70</v>
      </c>
      <c r="D67" s="76"/>
      <c r="E67" s="76">
        <v>0.122</v>
      </c>
      <c r="F67" s="76">
        <v>2</v>
      </c>
      <c r="G67" s="76">
        <v>0.124</v>
      </c>
      <c r="H67" s="76">
        <v>2E-3</v>
      </c>
      <c r="I67" s="76">
        <v>1.998</v>
      </c>
    </row>
    <row r="68" spans="2:9" x14ac:dyDescent="0.25">
      <c r="B68" s="76"/>
      <c r="C68" s="76" t="s">
        <v>71</v>
      </c>
      <c r="D68" s="76"/>
      <c r="E68" s="76">
        <v>0.126</v>
      </c>
      <c r="F68" s="76"/>
      <c r="G68" s="76"/>
      <c r="H68" s="76"/>
      <c r="I68" s="76"/>
    </row>
    <row r="69" spans="2:9" x14ac:dyDescent="0.25">
      <c r="B69" s="76" t="s">
        <v>50</v>
      </c>
      <c r="C69" s="76" t="s">
        <v>72</v>
      </c>
      <c r="D69" s="76"/>
      <c r="E69" s="76">
        <v>0.126</v>
      </c>
      <c r="F69" s="76">
        <v>2</v>
      </c>
      <c r="G69" s="76">
        <v>0.126</v>
      </c>
      <c r="H69" s="76">
        <v>1E-3</v>
      </c>
      <c r="I69" s="76">
        <v>0.56100000000000005</v>
      </c>
    </row>
    <row r="70" spans="2:9" x14ac:dyDescent="0.25">
      <c r="B70" s="76"/>
      <c r="C70" s="76" t="s">
        <v>73</v>
      </c>
      <c r="D70" s="76"/>
      <c r="E70" s="76">
        <v>0.127</v>
      </c>
      <c r="F70" s="76"/>
      <c r="G70" s="76"/>
      <c r="H70" s="76"/>
      <c r="I70" s="76"/>
    </row>
    <row r="71" spans="2:9" x14ac:dyDescent="0.25">
      <c r="B71" s="76" t="s">
        <v>56</v>
      </c>
      <c r="C71" s="76" t="s">
        <v>74</v>
      </c>
      <c r="D71" s="76"/>
      <c r="E71" s="76">
        <v>0.11899999999999999</v>
      </c>
      <c r="F71" s="76">
        <v>2</v>
      </c>
      <c r="G71" s="76">
        <v>0.124</v>
      </c>
      <c r="H71" s="76">
        <v>7.0000000000000001E-3</v>
      </c>
      <c r="I71" s="76">
        <v>5.6390000000000002</v>
      </c>
    </row>
    <row r="72" spans="2:9" x14ac:dyDescent="0.25">
      <c r="B72" s="76"/>
      <c r="C72" s="76" t="s">
        <v>75</v>
      </c>
      <c r="D72" s="76"/>
      <c r="E72" s="76">
        <v>0.129</v>
      </c>
      <c r="F72" s="76"/>
      <c r="G72" s="76"/>
      <c r="H72" s="76"/>
      <c r="I72" s="76"/>
    </row>
    <row r="73" spans="2:9" x14ac:dyDescent="0.25">
      <c r="B73" s="76" t="s">
        <v>51</v>
      </c>
      <c r="C73" s="76" t="s">
        <v>80</v>
      </c>
      <c r="D73" s="76"/>
      <c r="E73" s="76">
        <v>5.1999999999999998E-2</v>
      </c>
      <c r="F73" s="76">
        <v>2</v>
      </c>
      <c r="G73" s="76">
        <v>5.1999999999999998E-2</v>
      </c>
      <c r="H73" s="76">
        <v>0</v>
      </c>
      <c r="I73" s="76">
        <v>0.67700000000000005</v>
      </c>
    </row>
    <row r="74" spans="2:9" x14ac:dyDescent="0.25">
      <c r="B74" s="76"/>
      <c r="C74" s="76" t="s">
        <v>81</v>
      </c>
      <c r="D74" s="76"/>
      <c r="E74" s="76">
        <v>5.1999999999999998E-2</v>
      </c>
      <c r="F74" s="76"/>
      <c r="G74" s="76"/>
      <c r="H74" s="76"/>
      <c r="I74" s="76"/>
    </row>
    <row r="75" spans="2:9" x14ac:dyDescent="0.25">
      <c r="B75" s="76" t="s">
        <v>57</v>
      </c>
      <c r="C75" s="76" t="s">
        <v>82</v>
      </c>
      <c r="D75" s="76"/>
      <c r="E75" s="76">
        <v>0.125</v>
      </c>
      <c r="F75" s="76">
        <v>2</v>
      </c>
      <c r="G75" s="76">
        <v>0.125</v>
      </c>
      <c r="H75" s="76">
        <v>0</v>
      </c>
      <c r="I75" s="76">
        <v>0.33900000000000002</v>
      </c>
    </row>
    <row r="76" spans="2:9" x14ac:dyDescent="0.25">
      <c r="B76" s="76"/>
      <c r="C76" s="76" t="s">
        <v>83</v>
      </c>
      <c r="D76" s="76"/>
      <c r="E76" s="76">
        <v>0.126</v>
      </c>
      <c r="F76" s="76"/>
      <c r="G76" s="76"/>
      <c r="H76" s="76"/>
      <c r="I76" s="76"/>
    </row>
    <row r="77" spans="2:9" x14ac:dyDescent="0.25">
      <c r="B77" s="76" t="s">
        <v>38</v>
      </c>
      <c r="C77" s="76" t="s">
        <v>84</v>
      </c>
      <c r="D77" s="76"/>
      <c r="E77" s="76">
        <v>0.106</v>
      </c>
      <c r="F77" s="76">
        <v>2</v>
      </c>
      <c r="G77" s="76">
        <v>0.107</v>
      </c>
      <c r="H77" s="76">
        <v>1E-3</v>
      </c>
      <c r="I77" s="76">
        <v>0.66300000000000003</v>
      </c>
    </row>
    <row r="78" spans="2:9" x14ac:dyDescent="0.25">
      <c r="B78" s="76"/>
      <c r="C78" s="76" t="s">
        <v>85</v>
      </c>
      <c r="D78" s="76"/>
      <c r="E78" s="76">
        <v>0.107</v>
      </c>
      <c r="F78" s="76"/>
      <c r="G78" s="76"/>
      <c r="H78" s="76"/>
      <c r="I78" s="76"/>
    </row>
    <row r="79" spans="2:9" x14ac:dyDescent="0.25">
      <c r="B79" s="76" t="s">
        <v>46</v>
      </c>
      <c r="C79" s="76" t="s">
        <v>86</v>
      </c>
      <c r="D79" s="76"/>
      <c r="E79" s="76">
        <v>0.153</v>
      </c>
      <c r="F79" s="76">
        <v>2</v>
      </c>
      <c r="G79" s="76">
        <v>0.15</v>
      </c>
      <c r="H79" s="76">
        <v>4.0000000000000001E-3</v>
      </c>
      <c r="I79" s="76">
        <v>2.6360000000000001</v>
      </c>
    </row>
    <row r="80" spans="2:9" x14ac:dyDescent="0.25">
      <c r="B80" s="76"/>
      <c r="C80" s="76" t="s">
        <v>87</v>
      </c>
      <c r="D80" s="76"/>
      <c r="E80" s="76">
        <v>0.14699999999999999</v>
      </c>
      <c r="F80" s="76"/>
      <c r="G80" s="76"/>
      <c r="H80" s="76"/>
      <c r="I80" s="76"/>
    </row>
    <row r="81" spans="2:9" x14ac:dyDescent="0.25">
      <c r="B81" s="76" t="s">
        <v>132</v>
      </c>
      <c r="C81" s="76" t="s">
        <v>141</v>
      </c>
      <c r="D81" s="76"/>
      <c r="E81" s="76">
        <v>8.2000000000000003E-2</v>
      </c>
      <c r="F81" s="76">
        <v>2</v>
      </c>
      <c r="G81" s="76">
        <v>8.1000000000000003E-2</v>
      </c>
      <c r="H81" s="76">
        <v>1E-3</v>
      </c>
      <c r="I81" s="76">
        <v>0.96</v>
      </c>
    </row>
    <row r="82" spans="2:9" x14ac:dyDescent="0.25">
      <c r="B82" s="76"/>
      <c r="C82" s="76" t="s">
        <v>142</v>
      </c>
      <c r="D82" s="76"/>
      <c r="E82" s="76">
        <v>8.1000000000000003E-2</v>
      </c>
      <c r="F82" s="76"/>
      <c r="G82" s="76"/>
      <c r="H82" s="76"/>
      <c r="I82" s="76"/>
    </row>
    <row r="83" spans="2:9" x14ac:dyDescent="0.25">
      <c r="B83" s="76" t="s">
        <v>135</v>
      </c>
      <c r="C83" s="76" t="s">
        <v>143</v>
      </c>
      <c r="D83" s="76"/>
      <c r="E83" s="76">
        <v>0.115</v>
      </c>
      <c r="F83" s="76">
        <v>2</v>
      </c>
      <c r="G83" s="76">
        <v>0.11600000000000001</v>
      </c>
      <c r="H83" s="76">
        <v>1E-3</v>
      </c>
      <c r="I83" s="76">
        <v>1.284</v>
      </c>
    </row>
    <row r="84" spans="2:9" x14ac:dyDescent="0.25">
      <c r="B84" s="76"/>
      <c r="C84" s="76" t="s">
        <v>144</v>
      </c>
      <c r="D84" s="76"/>
      <c r="E84" s="76">
        <v>0.11700000000000001</v>
      </c>
      <c r="F84" s="76"/>
      <c r="G84" s="76"/>
      <c r="H84" s="76"/>
      <c r="I84" s="76"/>
    </row>
    <row r="85" spans="2:9" x14ac:dyDescent="0.25">
      <c r="B85" s="76" t="s">
        <v>131</v>
      </c>
      <c r="C85" s="76" t="s">
        <v>147</v>
      </c>
      <c r="D85" s="76"/>
      <c r="E85" s="76">
        <v>6.4000000000000001E-2</v>
      </c>
      <c r="F85" s="76">
        <v>2</v>
      </c>
      <c r="G85" s="76">
        <v>6.5000000000000002E-2</v>
      </c>
      <c r="H85" s="76">
        <v>1E-3</v>
      </c>
      <c r="I85" s="76">
        <v>1.0960000000000001</v>
      </c>
    </row>
    <row r="86" spans="2:9" x14ac:dyDescent="0.25">
      <c r="B86" s="76"/>
      <c r="C86" s="76" t="s">
        <v>148</v>
      </c>
      <c r="D86" s="76"/>
      <c r="E86" s="76">
        <v>6.5000000000000002E-2</v>
      </c>
      <c r="F86" s="76"/>
      <c r="G86" s="76"/>
      <c r="H86" s="76"/>
      <c r="I86" s="76"/>
    </row>
    <row r="87" spans="2:9" x14ac:dyDescent="0.25">
      <c r="B87" s="76" t="s">
        <v>136</v>
      </c>
      <c r="C87" s="76" t="s">
        <v>151</v>
      </c>
      <c r="D87" s="76"/>
      <c r="E87" s="76">
        <v>0.13400000000000001</v>
      </c>
      <c r="F87" s="76">
        <v>2</v>
      </c>
      <c r="G87" s="76">
        <v>0.13500000000000001</v>
      </c>
      <c r="H87" s="76">
        <v>1E-3</v>
      </c>
      <c r="I87" s="76">
        <v>0.83699999999999997</v>
      </c>
    </row>
    <row r="88" spans="2:9" x14ac:dyDescent="0.25">
      <c r="B88" s="76"/>
      <c r="C88" s="76" t="s">
        <v>152</v>
      </c>
      <c r="D88" s="76"/>
      <c r="E88" s="76">
        <v>0.13600000000000001</v>
      </c>
      <c r="F88" s="76"/>
      <c r="G88" s="76"/>
      <c r="H88" s="76"/>
      <c r="I88" s="76"/>
    </row>
    <row r="89" spans="2:9" x14ac:dyDescent="0.25">
      <c r="B89" s="76" t="s">
        <v>200</v>
      </c>
      <c r="C89" s="76" t="s">
        <v>220</v>
      </c>
      <c r="D89" s="76"/>
      <c r="E89" s="76">
        <v>8.6999999999999994E-2</v>
      </c>
      <c r="F89" s="76">
        <v>2</v>
      </c>
      <c r="G89" s="76">
        <v>8.4000000000000005E-2</v>
      </c>
      <c r="H89" s="76">
        <v>4.0000000000000001E-3</v>
      </c>
      <c r="I89" s="76">
        <v>4.97</v>
      </c>
    </row>
    <row r="90" spans="2:9" x14ac:dyDescent="0.25">
      <c r="B90" s="76"/>
      <c r="C90" s="76" t="s">
        <v>221</v>
      </c>
      <c r="D90" s="76"/>
      <c r="E90" s="76">
        <v>8.1000000000000003E-2</v>
      </c>
      <c r="F90" s="76"/>
      <c r="G90" s="76"/>
      <c r="H90" s="76"/>
      <c r="I90" s="76"/>
    </row>
    <row r="91" spans="2:9" x14ac:dyDescent="0.25">
      <c r="B91" s="76" t="s">
        <v>212</v>
      </c>
      <c r="C91" s="76" t="s">
        <v>224</v>
      </c>
      <c r="D91" s="76"/>
      <c r="E91" s="76">
        <v>7.3999999999999996E-2</v>
      </c>
      <c r="F91" s="76">
        <v>2</v>
      </c>
      <c r="G91" s="76">
        <v>7.4999999999999997E-2</v>
      </c>
      <c r="H91" s="76">
        <v>1E-3</v>
      </c>
      <c r="I91" s="76">
        <v>1.5109999999999999</v>
      </c>
    </row>
    <row r="92" spans="2:9" x14ac:dyDescent="0.25">
      <c r="B92" s="76"/>
      <c r="C92" s="76" t="s">
        <v>225</v>
      </c>
      <c r="D92" s="76"/>
      <c r="E92" s="76">
        <v>7.5999999999999998E-2</v>
      </c>
      <c r="F92" s="76"/>
      <c r="G92" s="76"/>
      <c r="H92" s="76"/>
      <c r="I92" s="76"/>
    </row>
    <row r="93" spans="2:9" x14ac:dyDescent="0.25">
      <c r="B93" s="76" t="s">
        <v>195</v>
      </c>
      <c r="C93" s="76" t="s">
        <v>226</v>
      </c>
      <c r="D93" s="76"/>
      <c r="E93" s="76">
        <v>8.7999999999999995E-2</v>
      </c>
      <c r="F93" s="76">
        <v>2</v>
      </c>
      <c r="G93" s="76">
        <v>8.6999999999999994E-2</v>
      </c>
      <c r="H93" s="76">
        <v>1E-3</v>
      </c>
      <c r="I93" s="76">
        <v>0.97299999999999998</v>
      </c>
    </row>
    <row r="94" spans="2:9" x14ac:dyDescent="0.25">
      <c r="B94" s="76"/>
      <c r="C94" s="76" t="s">
        <v>227</v>
      </c>
      <c r="D94" s="76"/>
      <c r="E94" s="76">
        <v>8.6999999999999994E-2</v>
      </c>
      <c r="F94" s="76"/>
      <c r="G94" s="76"/>
      <c r="H94" s="76"/>
      <c r="I94" s="76"/>
    </row>
    <row r="95" spans="2:9" x14ac:dyDescent="0.25">
      <c r="B95" s="76" t="s">
        <v>201</v>
      </c>
      <c r="C95" s="76" t="s">
        <v>228</v>
      </c>
      <c r="D95" s="76"/>
      <c r="E95" s="76">
        <v>0.159</v>
      </c>
      <c r="F95" s="76">
        <v>2</v>
      </c>
      <c r="G95" s="76">
        <v>0.10199999999999999</v>
      </c>
      <c r="H95" s="76">
        <v>8.1000000000000003E-2</v>
      </c>
      <c r="I95" s="76">
        <v>79.789000000000001</v>
      </c>
    </row>
    <row r="96" spans="2:9" x14ac:dyDescent="0.25">
      <c r="B96" s="76"/>
      <c r="C96" s="76" t="s">
        <v>229</v>
      </c>
      <c r="D96" s="76"/>
      <c r="E96" s="76">
        <v>4.3999999999999997E-2</v>
      </c>
      <c r="F96" s="76"/>
      <c r="G96" s="76"/>
      <c r="H96" s="76"/>
      <c r="I96" s="76"/>
    </row>
    <row r="97" spans="2:9" x14ac:dyDescent="0.25">
      <c r="B97" s="76" t="s">
        <v>207</v>
      </c>
      <c r="C97" s="76" t="s">
        <v>230</v>
      </c>
      <c r="D97" s="76"/>
      <c r="E97" s="76">
        <v>0.186</v>
      </c>
      <c r="F97" s="76">
        <v>2</v>
      </c>
      <c r="G97" s="76">
        <v>0.186</v>
      </c>
      <c r="H97" s="76">
        <v>1E-3</v>
      </c>
      <c r="I97" s="76">
        <v>0.68300000000000005</v>
      </c>
    </row>
    <row r="98" spans="2:9" x14ac:dyDescent="0.25">
      <c r="B98" s="76"/>
      <c r="C98" s="76" t="s">
        <v>231</v>
      </c>
      <c r="D98" s="76"/>
      <c r="E98" s="76">
        <v>0.187</v>
      </c>
      <c r="F98" s="76"/>
      <c r="G98" s="76"/>
      <c r="H98" s="76"/>
      <c r="I98" s="76"/>
    </row>
    <row r="99" spans="2:9" x14ac:dyDescent="0.25">
      <c r="B99" s="76" t="s">
        <v>213</v>
      </c>
      <c r="C99" s="76" t="s">
        <v>232</v>
      </c>
      <c r="D99" s="76"/>
      <c r="E99" s="76">
        <v>0.115</v>
      </c>
      <c r="F99" s="76">
        <v>2</v>
      </c>
      <c r="G99" s="76">
        <v>0.10299999999999999</v>
      </c>
      <c r="H99" s="76">
        <v>1.6E-2</v>
      </c>
      <c r="I99" s="76">
        <v>15.698</v>
      </c>
    </row>
    <row r="100" spans="2:9" x14ac:dyDescent="0.25">
      <c r="B100" s="76"/>
      <c r="C100" s="76" t="s">
        <v>233</v>
      </c>
      <c r="D100" s="76"/>
      <c r="E100" s="76">
        <v>9.1999999999999998E-2</v>
      </c>
      <c r="F100" s="76"/>
      <c r="G100" s="76"/>
      <c r="H100" s="76"/>
      <c r="I100" s="76"/>
    </row>
    <row r="101" spans="2:9" x14ac:dyDescent="0.25">
      <c r="B101" s="76" t="s">
        <v>98</v>
      </c>
      <c r="C101" s="76" t="s">
        <v>88</v>
      </c>
      <c r="D101" s="76">
        <v>0</v>
      </c>
      <c r="E101" s="76">
        <v>4.4999999999999998E-2</v>
      </c>
      <c r="F101" s="76">
        <v>2</v>
      </c>
      <c r="G101" s="76">
        <v>4.8000000000000001E-2</v>
      </c>
      <c r="H101" s="76">
        <v>4.0000000000000001E-3</v>
      </c>
      <c r="I101" s="76">
        <v>7.7409999999999997</v>
      </c>
    </row>
    <row r="102" spans="2:9" x14ac:dyDescent="0.25">
      <c r="B102" s="76"/>
      <c r="C102" s="76" t="s">
        <v>89</v>
      </c>
      <c r="D102" s="76">
        <v>0</v>
      </c>
      <c r="E102" s="76">
        <v>0.05</v>
      </c>
      <c r="F102" s="76"/>
      <c r="G102" s="76"/>
      <c r="H102" s="76"/>
      <c r="I102" s="76"/>
    </row>
    <row r="103" spans="2:9" x14ac:dyDescent="0.25">
      <c r="B103" s="76" t="s">
        <v>43</v>
      </c>
      <c r="C103" s="76" t="s">
        <v>91</v>
      </c>
      <c r="D103" s="76">
        <v>12.5</v>
      </c>
      <c r="E103" s="76">
        <v>5.7000000000000002E-2</v>
      </c>
      <c r="F103" s="76">
        <v>2</v>
      </c>
      <c r="G103" s="76">
        <v>5.7000000000000002E-2</v>
      </c>
      <c r="H103" s="76">
        <v>0</v>
      </c>
      <c r="I103" s="76">
        <v>0.86799999999999999</v>
      </c>
    </row>
    <row r="104" spans="2:9" x14ac:dyDescent="0.25">
      <c r="B104" s="76"/>
      <c r="C104" s="76" t="s">
        <v>90</v>
      </c>
      <c r="D104" s="76">
        <v>12.5</v>
      </c>
      <c r="E104" s="76">
        <v>5.7000000000000002E-2</v>
      </c>
      <c r="F104" s="76"/>
      <c r="G104" s="76"/>
      <c r="H104" s="76"/>
      <c r="I104" s="76"/>
    </row>
    <row r="105" spans="2:9" x14ac:dyDescent="0.25">
      <c r="B105" s="76" t="s">
        <v>49</v>
      </c>
      <c r="C105" s="76" t="s">
        <v>92</v>
      </c>
      <c r="D105" s="76">
        <v>50</v>
      </c>
      <c r="E105" s="76">
        <v>0.10199999999999999</v>
      </c>
      <c r="F105" s="76">
        <v>2</v>
      </c>
      <c r="G105" s="76">
        <v>0.10199999999999999</v>
      </c>
      <c r="H105" s="76">
        <v>0</v>
      </c>
      <c r="I105" s="76">
        <v>0.20899999999999999</v>
      </c>
    </row>
    <row r="106" spans="2:9" x14ac:dyDescent="0.25">
      <c r="B106" s="76"/>
      <c r="C106" s="76" t="s">
        <v>93</v>
      </c>
      <c r="D106" s="76">
        <v>50</v>
      </c>
      <c r="E106" s="76">
        <v>0.10199999999999999</v>
      </c>
      <c r="F106" s="76"/>
      <c r="G106" s="76"/>
      <c r="H106" s="76"/>
      <c r="I106" s="76"/>
    </row>
    <row r="107" spans="2:9" x14ac:dyDescent="0.25">
      <c r="B107" s="76" t="s">
        <v>102</v>
      </c>
      <c r="C107" s="76" t="s">
        <v>94</v>
      </c>
      <c r="D107" s="76">
        <v>100</v>
      </c>
      <c r="E107" s="76">
        <v>0.14099999999999999</v>
      </c>
      <c r="F107" s="76">
        <v>2</v>
      </c>
      <c r="G107" s="76">
        <v>0.14599999999999999</v>
      </c>
      <c r="H107" s="76">
        <v>6.0000000000000001E-3</v>
      </c>
      <c r="I107" s="76">
        <v>3.9350000000000001</v>
      </c>
    </row>
    <row r="108" spans="2:9" x14ac:dyDescent="0.25">
      <c r="B108" s="76"/>
      <c r="C108" s="76" t="s">
        <v>95</v>
      </c>
      <c r="D108" s="76">
        <v>100</v>
      </c>
      <c r="E108" s="76">
        <v>0.15</v>
      </c>
      <c r="F108" s="76"/>
      <c r="G108" s="76"/>
      <c r="H108" s="76"/>
      <c r="I108" s="76"/>
    </row>
    <row r="109" spans="2:9" x14ac:dyDescent="0.25">
      <c r="B109" s="76" t="s">
        <v>55</v>
      </c>
      <c r="C109" s="76" t="s">
        <v>66</v>
      </c>
      <c r="D109" s="76">
        <v>150</v>
      </c>
      <c r="E109" s="76">
        <v>0.19</v>
      </c>
      <c r="F109" s="76">
        <v>2</v>
      </c>
      <c r="G109" s="76">
        <v>0.19700000000000001</v>
      </c>
      <c r="H109" s="76">
        <v>1.0999999999999999E-2</v>
      </c>
      <c r="I109" s="76">
        <v>5.6219999999999999</v>
      </c>
    </row>
    <row r="110" spans="2:9" x14ac:dyDescent="0.25">
      <c r="B110" s="76"/>
      <c r="C110" s="76" t="s">
        <v>67</v>
      </c>
      <c r="D110" s="76">
        <v>150</v>
      </c>
      <c r="E110" s="76">
        <v>0.20499999999999999</v>
      </c>
      <c r="F110" s="76"/>
      <c r="G110" s="76"/>
      <c r="H110" s="76"/>
      <c r="I110" s="76"/>
    </row>
    <row r="111" spans="2:9" x14ac:dyDescent="0.25">
      <c r="B111" s="76" t="s">
        <v>134</v>
      </c>
      <c r="C111" s="76" t="s">
        <v>68</v>
      </c>
      <c r="D111" s="76">
        <v>200</v>
      </c>
      <c r="E111" s="76">
        <v>0.22800000000000001</v>
      </c>
      <c r="F111" s="76">
        <v>2</v>
      </c>
      <c r="G111" s="76">
        <v>0.23200000000000001</v>
      </c>
      <c r="H111" s="76">
        <v>7.0000000000000001E-3</v>
      </c>
      <c r="I111" s="76">
        <v>3.0409999999999999</v>
      </c>
    </row>
    <row r="112" spans="2:9" x14ac:dyDescent="0.25">
      <c r="B112" s="76"/>
      <c r="C112" s="76" t="s">
        <v>69</v>
      </c>
      <c r="D112" s="76">
        <v>200</v>
      </c>
      <c r="E112" s="76">
        <v>0.23699999999999999</v>
      </c>
      <c r="F112" s="76"/>
      <c r="G112" s="76"/>
      <c r="H112" s="76"/>
      <c r="I112" s="76"/>
    </row>
    <row r="114" spans="1:2" x14ac:dyDescent="0.25">
      <c r="A114" s="63" t="s">
        <v>104</v>
      </c>
      <c r="B114" s="64"/>
    </row>
    <row r="149" spans="1:10" ht="26.4" x14ac:dyDescent="0.25">
      <c r="A149" s="63" t="s">
        <v>105</v>
      </c>
      <c r="B149" s="64"/>
    </row>
    <row r="151" spans="1:10" ht="26.4" x14ac:dyDescent="0.25">
      <c r="B151" s="66" t="s">
        <v>106</v>
      </c>
      <c r="C151" s="66" t="s">
        <v>107</v>
      </c>
      <c r="D151" s="66" t="s">
        <v>35</v>
      </c>
      <c r="E151" s="66" t="s">
        <v>41</v>
      </c>
      <c r="F151" s="66" t="s">
        <v>108</v>
      </c>
      <c r="G151" s="66" t="s">
        <v>109</v>
      </c>
    </row>
    <row r="152" spans="1:10" x14ac:dyDescent="0.25">
      <c r="B152" s="76" t="s">
        <v>104</v>
      </c>
      <c r="C152" s="76" t="s">
        <v>110</v>
      </c>
      <c r="D152" s="76">
        <v>9.4600000000000001E-4</v>
      </c>
      <c r="E152" s="76">
        <v>4.9399999999999999E-2</v>
      </c>
      <c r="F152" s="76">
        <v>0.996</v>
      </c>
      <c r="G152" s="76" t="s">
        <v>99</v>
      </c>
    </row>
    <row r="154" spans="1:10" x14ac:dyDescent="0.25">
      <c r="A154" s="63" t="s">
        <v>111</v>
      </c>
      <c r="B154" s="64"/>
    </row>
    <row r="155" spans="1:10" x14ac:dyDescent="0.25">
      <c r="A155" s="60" t="s">
        <v>59</v>
      </c>
      <c r="B155" s="60">
        <v>26.5</v>
      </c>
    </row>
    <row r="157" spans="1:10" ht="26.4" x14ac:dyDescent="0.25">
      <c r="B157" s="66" t="s">
        <v>39</v>
      </c>
      <c r="C157" s="66" t="s">
        <v>60</v>
      </c>
      <c r="D157" s="66" t="s">
        <v>40</v>
      </c>
      <c r="E157" s="66">
        <v>500</v>
      </c>
      <c r="F157" s="66" t="s">
        <v>111</v>
      </c>
      <c r="G157" s="66" t="s">
        <v>61</v>
      </c>
      <c r="H157" s="66" t="s">
        <v>4</v>
      </c>
      <c r="I157" s="66" t="s">
        <v>62</v>
      </c>
      <c r="J157" s="66" t="s">
        <v>63</v>
      </c>
    </row>
    <row r="158" spans="1:10" x14ac:dyDescent="0.25">
      <c r="B158" s="76" t="s">
        <v>36</v>
      </c>
      <c r="C158" s="76" t="s">
        <v>64</v>
      </c>
      <c r="D158" s="76"/>
      <c r="E158" s="76">
        <v>4.3999999999999997E-2</v>
      </c>
      <c r="F158" s="76" t="s">
        <v>112</v>
      </c>
      <c r="G158" s="76">
        <v>1</v>
      </c>
      <c r="H158" s="76">
        <v>0.79700000000000004</v>
      </c>
      <c r="I158" s="76" t="s">
        <v>99</v>
      </c>
      <c r="J158" s="76" t="s">
        <v>99</v>
      </c>
    </row>
    <row r="159" spans="1:10" x14ac:dyDescent="0.25">
      <c r="B159" s="76"/>
      <c r="C159" s="76" t="s">
        <v>65</v>
      </c>
      <c r="D159" s="76"/>
      <c r="E159" s="76">
        <v>4.2999999999999997E-2</v>
      </c>
      <c r="F159" s="76" t="s">
        <v>112</v>
      </c>
      <c r="G159" s="76"/>
      <c r="H159" s="76"/>
      <c r="I159" s="76"/>
      <c r="J159" s="76"/>
    </row>
    <row r="160" spans="1:10" x14ac:dyDescent="0.25">
      <c r="B160" s="76"/>
      <c r="C160" s="76" t="s">
        <v>76</v>
      </c>
      <c r="D160" s="76"/>
      <c r="E160" s="76">
        <v>4.2999999999999997E-2</v>
      </c>
      <c r="F160" s="76" t="s">
        <v>112</v>
      </c>
      <c r="G160" s="76"/>
      <c r="H160" s="76"/>
      <c r="I160" s="76"/>
      <c r="J160" s="76"/>
    </row>
    <row r="161" spans="2:10" x14ac:dyDescent="0.25">
      <c r="B161" s="76"/>
      <c r="C161" s="76" t="s">
        <v>77</v>
      </c>
      <c r="D161" s="76"/>
      <c r="E161" s="76">
        <v>4.2999999999999997E-2</v>
      </c>
      <c r="F161" s="76" t="s">
        <v>112</v>
      </c>
      <c r="G161" s="76"/>
      <c r="H161" s="76"/>
      <c r="I161" s="76"/>
      <c r="J161" s="76"/>
    </row>
    <row r="162" spans="2:10" x14ac:dyDescent="0.25">
      <c r="B162" s="76"/>
      <c r="C162" s="76" t="s">
        <v>78</v>
      </c>
      <c r="D162" s="76"/>
      <c r="E162" s="76">
        <v>4.2999999999999997E-2</v>
      </c>
      <c r="F162" s="76" t="s">
        <v>112</v>
      </c>
      <c r="G162" s="76"/>
      <c r="H162" s="76"/>
      <c r="I162" s="76"/>
      <c r="J162" s="76"/>
    </row>
    <row r="163" spans="2:10" x14ac:dyDescent="0.25">
      <c r="B163" s="76"/>
      <c r="C163" s="76" t="s">
        <v>79</v>
      </c>
      <c r="D163" s="76"/>
      <c r="E163" s="76">
        <v>4.2999999999999997E-2</v>
      </c>
      <c r="F163" s="76" t="s">
        <v>112</v>
      </c>
      <c r="G163" s="76"/>
      <c r="H163" s="76"/>
      <c r="I163" s="76"/>
      <c r="J163" s="76"/>
    </row>
    <row r="164" spans="2:10" x14ac:dyDescent="0.25">
      <c r="B164" s="76"/>
      <c r="C164" s="76" t="s">
        <v>139</v>
      </c>
      <c r="D164" s="76"/>
      <c r="E164" s="76">
        <v>4.2999999999999997E-2</v>
      </c>
      <c r="F164" s="76" t="s">
        <v>112</v>
      </c>
      <c r="G164" s="76"/>
      <c r="H164" s="76"/>
      <c r="I164" s="76"/>
      <c r="J164" s="76"/>
    </row>
    <row r="165" spans="2:10" x14ac:dyDescent="0.25">
      <c r="B165" s="76"/>
      <c r="C165" s="76" t="s">
        <v>140</v>
      </c>
      <c r="D165" s="76"/>
      <c r="E165" s="76">
        <v>4.2999999999999997E-2</v>
      </c>
      <c r="F165" s="76" t="s">
        <v>112</v>
      </c>
      <c r="G165" s="76"/>
      <c r="H165" s="76"/>
      <c r="I165" s="76"/>
      <c r="J165" s="76"/>
    </row>
    <row r="166" spans="2:10" x14ac:dyDescent="0.25">
      <c r="B166" s="76"/>
      <c r="C166" s="76" t="s">
        <v>145</v>
      </c>
      <c r="D166" s="76"/>
      <c r="E166" s="76">
        <v>4.3999999999999997E-2</v>
      </c>
      <c r="F166" s="76" t="s">
        <v>112</v>
      </c>
      <c r="G166" s="76"/>
      <c r="H166" s="76"/>
      <c r="I166" s="76"/>
      <c r="J166" s="76"/>
    </row>
    <row r="167" spans="2:10" x14ac:dyDescent="0.25">
      <c r="B167" s="76"/>
      <c r="C167" s="76" t="s">
        <v>146</v>
      </c>
      <c r="D167" s="76"/>
      <c r="E167" s="76">
        <v>4.2999999999999997E-2</v>
      </c>
      <c r="F167" s="76" t="s">
        <v>112</v>
      </c>
      <c r="G167" s="76"/>
      <c r="H167" s="76"/>
      <c r="I167" s="76"/>
      <c r="J167" s="76"/>
    </row>
    <row r="168" spans="2:10" x14ac:dyDescent="0.25">
      <c r="B168" s="76"/>
      <c r="C168" s="76" t="s">
        <v>153</v>
      </c>
      <c r="D168" s="76"/>
      <c r="E168" s="76">
        <v>4.5999999999999999E-2</v>
      </c>
      <c r="F168" s="76" t="s">
        <v>112</v>
      </c>
      <c r="G168" s="76"/>
      <c r="H168" s="76"/>
      <c r="I168" s="76"/>
      <c r="J168" s="76"/>
    </row>
    <row r="169" spans="2:10" x14ac:dyDescent="0.25">
      <c r="B169" s="76"/>
      <c r="C169" s="76" t="s">
        <v>154</v>
      </c>
      <c r="D169" s="76"/>
      <c r="E169" s="76">
        <v>4.3999999999999997E-2</v>
      </c>
      <c r="F169" s="76" t="s">
        <v>112</v>
      </c>
      <c r="G169" s="76"/>
      <c r="H169" s="76"/>
      <c r="I169" s="76"/>
      <c r="J169" s="76"/>
    </row>
    <row r="170" spans="2:10" x14ac:dyDescent="0.25">
      <c r="B170" s="76"/>
      <c r="C170" s="76" t="s">
        <v>149</v>
      </c>
      <c r="D170" s="76"/>
      <c r="E170" s="76">
        <v>4.2999999999999997E-2</v>
      </c>
      <c r="F170" s="76" t="s">
        <v>112</v>
      </c>
      <c r="G170" s="76"/>
      <c r="H170" s="76"/>
      <c r="I170" s="76"/>
      <c r="J170" s="76"/>
    </row>
    <row r="171" spans="2:10" x14ac:dyDescent="0.25">
      <c r="B171" s="76"/>
      <c r="C171" s="76" t="s">
        <v>150</v>
      </c>
      <c r="D171" s="76"/>
      <c r="E171" s="76">
        <v>4.2999999999999997E-2</v>
      </c>
      <c r="F171" s="76" t="s">
        <v>112</v>
      </c>
      <c r="G171" s="76"/>
      <c r="H171" s="76"/>
      <c r="I171" s="76"/>
      <c r="J171" s="76"/>
    </row>
    <row r="172" spans="2:10" x14ac:dyDescent="0.25">
      <c r="B172" s="76"/>
      <c r="C172" s="76" t="s">
        <v>218</v>
      </c>
      <c r="D172" s="76"/>
      <c r="E172" s="76">
        <v>4.7E-2</v>
      </c>
      <c r="F172" s="76" t="s">
        <v>112</v>
      </c>
      <c r="G172" s="76"/>
      <c r="H172" s="76"/>
      <c r="I172" s="76"/>
      <c r="J172" s="76"/>
    </row>
    <row r="173" spans="2:10" x14ac:dyDescent="0.25">
      <c r="B173" s="76"/>
      <c r="C173" s="76" t="s">
        <v>219</v>
      </c>
      <c r="D173" s="76"/>
      <c r="E173" s="76">
        <v>4.2999999999999997E-2</v>
      </c>
      <c r="F173" s="76" t="s">
        <v>112</v>
      </c>
      <c r="G173" s="76"/>
      <c r="H173" s="76"/>
      <c r="I173" s="76"/>
      <c r="J173" s="76"/>
    </row>
    <row r="174" spans="2:10" x14ac:dyDescent="0.25">
      <c r="B174" s="76"/>
      <c r="C174" s="76" t="s">
        <v>222</v>
      </c>
      <c r="D174" s="76"/>
      <c r="E174" s="76">
        <v>0.05</v>
      </c>
      <c r="F174" s="76">
        <v>0.79700000000000004</v>
      </c>
      <c r="G174" s="76"/>
      <c r="H174" s="76"/>
      <c r="I174" s="76"/>
      <c r="J174" s="76"/>
    </row>
    <row r="175" spans="2:10" x14ac:dyDescent="0.25">
      <c r="B175" s="76"/>
      <c r="C175" s="76" t="s">
        <v>223</v>
      </c>
      <c r="D175" s="76"/>
      <c r="E175" s="76">
        <v>4.3999999999999997E-2</v>
      </c>
      <c r="F175" s="76" t="s">
        <v>112</v>
      </c>
      <c r="G175" s="76"/>
      <c r="H175" s="76"/>
      <c r="I175" s="76"/>
      <c r="J175" s="76"/>
    </row>
    <row r="176" spans="2:10" x14ac:dyDescent="0.25">
      <c r="B176" s="76" t="s">
        <v>44</v>
      </c>
      <c r="C176" s="76" t="s">
        <v>70</v>
      </c>
      <c r="D176" s="76"/>
      <c r="E176" s="76">
        <v>0.122</v>
      </c>
      <c r="F176" s="76">
        <v>76.77</v>
      </c>
      <c r="G176" s="76">
        <v>2</v>
      </c>
      <c r="H176" s="76">
        <v>78.619</v>
      </c>
      <c r="I176" s="76">
        <v>2.6150000000000002</v>
      </c>
      <c r="J176" s="76">
        <v>3.3260000000000001</v>
      </c>
    </row>
    <row r="177" spans="2:10" x14ac:dyDescent="0.25">
      <c r="B177" s="76"/>
      <c r="C177" s="76" t="s">
        <v>71</v>
      </c>
      <c r="D177" s="76"/>
      <c r="E177" s="76">
        <v>0.126</v>
      </c>
      <c r="F177" s="76">
        <v>80.468000000000004</v>
      </c>
      <c r="G177" s="76"/>
      <c r="H177" s="76"/>
      <c r="I177" s="76"/>
      <c r="J177" s="76"/>
    </row>
    <row r="178" spans="2:10" x14ac:dyDescent="0.25">
      <c r="B178" s="76" t="s">
        <v>50</v>
      </c>
      <c r="C178" s="76" t="s">
        <v>72</v>
      </c>
      <c r="D178" s="76"/>
      <c r="E178" s="76">
        <v>0.126</v>
      </c>
      <c r="F178" s="76">
        <v>80.468000000000004</v>
      </c>
      <c r="G178" s="76">
        <v>2</v>
      </c>
      <c r="H178" s="76">
        <v>80.995999999999995</v>
      </c>
      <c r="I178" s="76">
        <v>0.747</v>
      </c>
      <c r="J178" s="76">
        <v>0.92200000000000004</v>
      </c>
    </row>
    <row r="179" spans="2:10" x14ac:dyDescent="0.25">
      <c r="B179" s="76"/>
      <c r="C179" s="76" t="s">
        <v>73</v>
      </c>
      <c r="D179" s="76"/>
      <c r="E179" s="76">
        <v>0.127</v>
      </c>
      <c r="F179" s="76">
        <v>81.525000000000006</v>
      </c>
      <c r="G179" s="76"/>
      <c r="H179" s="76"/>
      <c r="I179" s="76"/>
      <c r="J179" s="76"/>
    </row>
    <row r="180" spans="2:10" x14ac:dyDescent="0.25">
      <c r="B180" s="76" t="s">
        <v>56</v>
      </c>
      <c r="C180" s="76" t="s">
        <v>74</v>
      </c>
      <c r="D180" s="76"/>
      <c r="E180" s="76">
        <v>0.11899999999999999</v>
      </c>
      <c r="F180" s="76">
        <v>73.704999999999998</v>
      </c>
      <c r="G180" s="76">
        <v>2</v>
      </c>
      <c r="H180" s="76">
        <v>78.936000000000007</v>
      </c>
      <c r="I180" s="76">
        <v>7.3970000000000002</v>
      </c>
      <c r="J180" s="76">
        <v>9.3710000000000004</v>
      </c>
    </row>
    <row r="181" spans="2:10" x14ac:dyDescent="0.25">
      <c r="B181" s="76"/>
      <c r="C181" s="76" t="s">
        <v>75</v>
      </c>
      <c r="D181" s="76"/>
      <c r="E181" s="76">
        <v>0.129</v>
      </c>
      <c r="F181" s="76">
        <v>84.165999999999997</v>
      </c>
      <c r="G181" s="76"/>
      <c r="H181" s="76"/>
      <c r="I181" s="76"/>
      <c r="J181" s="76"/>
    </row>
    <row r="182" spans="2:10" x14ac:dyDescent="0.25">
      <c r="B182" s="76" t="s">
        <v>51</v>
      </c>
      <c r="C182" s="76" t="s">
        <v>80</v>
      </c>
      <c r="D182" s="76"/>
      <c r="E182" s="76">
        <v>5.1999999999999998E-2</v>
      </c>
      <c r="F182" s="76">
        <v>3.2269999999999999</v>
      </c>
      <c r="G182" s="76">
        <v>2</v>
      </c>
      <c r="H182" s="76">
        <v>2.9630000000000001</v>
      </c>
      <c r="I182" s="76">
        <v>0.374</v>
      </c>
      <c r="J182" s="76">
        <v>12.608000000000001</v>
      </c>
    </row>
    <row r="183" spans="2:10" x14ac:dyDescent="0.25">
      <c r="B183" s="76"/>
      <c r="C183" s="76" t="s">
        <v>81</v>
      </c>
      <c r="D183" s="76"/>
      <c r="E183" s="76">
        <v>5.1999999999999998E-2</v>
      </c>
      <c r="F183" s="76">
        <v>2.6989999999999998</v>
      </c>
      <c r="G183" s="76"/>
      <c r="H183" s="76"/>
      <c r="I183" s="76"/>
      <c r="J183" s="76"/>
    </row>
    <row r="184" spans="2:10" x14ac:dyDescent="0.25">
      <c r="B184" s="76" t="s">
        <v>57</v>
      </c>
      <c r="C184" s="76" t="s">
        <v>82</v>
      </c>
      <c r="D184" s="76"/>
      <c r="E184" s="76">
        <v>0.125</v>
      </c>
      <c r="F184" s="76">
        <v>79.834000000000003</v>
      </c>
      <c r="G184" s="76">
        <v>2</v>
      </c>
      <c r="H184" s="76">
        <v>80.150999999999996</v>
      </c>
      <c r="I184" s="76">
        <v>0.44800000000000001</v>
      </c>
      <c r="J184" s="76">
        <v>0.55900000000000005</v>
      </c>
    </row>
    <row r="185" spans="2:10" x14ac:dyDescent="0.25">
      <c r="B185" s="76"/>
      <c r="C185" s="76" t="s">
        <v>83</v>
      </c>
      <c r="D185" s="76"/>
      <c r="E185" s="76">
        <v>0.126</v>
      </c>
      <c r="F185" s="76">
        <v>80.468000000000004</v>
      </c>
      <c r="G185" s="76"/>
      <c r="H185" s="76"/>
      <c r="I185" s="76"/>
      <c r="J185" s="76"/>
    </row>
    <row r="186" spans="2:10" x14ac:dyDescent="0.25">
      <c r="B186" s="76" t="s">
        <v>38</v>
      </c>
      <c r="C186" s="76" t="s">
        <v>84</v>
      </c>
      <c r="D186" s="76"/>
      <c r="E186" s="76">
        <v>0.106</v>
      </c>
      <c r="F186" s="76">
        <v>59.863</v>
      </c>
      <c r="G186" s="76">
        <v>2</v>
      </c>
      <c r="H186" s="76">
        <v>60.392000000000003</v>
      </c>
      <c r="I186" s="76">
        <v>0.747</v>
      </c>
      <c r="J186" s="76">
        <v>1.2370000000000001</v>
      </c>
    </row>
    <row r="187" spans="2:10" x14ac:dyDescent="0.25">
      <c r="B187" s="76"/>
      <c r="C187" s="76" t="s">
        <v>85</v>
      </c>
      <c r="D187" s="76"/>
      <c r="E187" s="76">
        <v>0.107</v>
      </c>
      <c r="F187" s="76">
        <v>60.92</v>
      </c>
      <c r="G187" s="76"/>
      <c r="H187" s="76"/>
      <c r="I187" s="76"/>
      <c r="J187" s="76"/>
    </row>
    <row r="188" spans="2:10" x14ac:dyDescent="0.25">
      <c r="B188" s="76" t="s">
        <v>46</v>
      </c>
      <c r="C188" s="76" t="s">
        <v>86</v>
      </c>
      <c r="D188" s="76"/>
      <c r="E188" s="76">
        <v>0.153</v>
      </c>
      <c r="F188" s="76">
        <v>109.42</v>
      </c>
      <c r="G188" s="76">
        <v>2</v>
      </c>
      <c r="H188" s="76">
        <v>106.462</v>
      </c>
      <c r="I188" s="76">
        <v>4.1840000000000002</v>
      </c>
      <c r="J188" s="76">
        <v>3.93</v>
      </c>
    </row>
    <row r="189" spans="2:10" x14ac:dyDescent="0.25">
      <c r="B189" s="76"/>
      <c r="C189" s="76" t="s">
        <v>87</v>
      </c>
      <c r="D189" s="76"/>
      <c r="E189" s="76">
        <v>0.14699999999999999</v>
      </c>
      <c r="F189" s="76">
        <v>103.503</v>
      </c>
      <c r="G189" s="76"/>
      <c r="H189" s="76"/>
      <c r="I189" s="76"/>
      <c r="J189" s="76"/>
    </row>
    <row r="190" spans="2:10" x14ac:dyDescent="0.25">
      <c r="B190" s="76" t="s">
        <v>132</v>
      </c>
      <c r="C190" s="76" t="s">
        <v>141</v>
      </c>
      <c r="D190" s="76"/>
      <c r="E190" s="76">
        <v>8.2000000000000003E-2</v>
      </c>
      <c r="F190" s="76">
        <v>33.975999999999999</v>
      </c>
      <c r="G190" s="76">
        <v>2</v>
      </c>
      <c r="H190" s="76">
        <v>33.393999999999998</v>
      </c>
      <c r="I190" s="76">
        <v>0.82199999999999995</v>
      </c>
      <c r="J190" s="76">
        <v>2.4609999999999999</v>
      </c>
    </row>
    <row r="191" spans="2:10" x14ac:dyDescent="0.25">
      <c r="B191" s="76"/>
      <c r="C191" s="76" t="s">
        <v>142</v>
      </c>
      <c r="D191" s="76"/>
      <c r="E191" s="76">
        <v>8.1000000000000003E-2</v>
      </c>
      <c r="F191" s="76">
        <v>32.813000000000002</v>
      </c>
      <c r="G191" s="76"/>
      <c r="H191" s="76"/>
      <c r="I191" s="76"/>
      <c r="J191" s="76"/>
    </row>
    <row r="192" spans="2:10" x14ac:dyDescent="0.25">
      <c r="B192" s="76" t="s">
        <v>135</v>
      </c>
      <c r="C192" s="76" t="s">
        <v>143</v>
      </c>
      <c r="D192" s="76"/>
      <c r="E192" s="76">
        <v>0.115</v>
      </c>
      <c r="F192" s="76">
        <v>68.844999999999999</v>
      </c>
      <c r="G192" s="76">
        <v>2</v>
      </c>
      <c r="H192" s="76">
        <v>69.953999999999994</v>
      </c>
      <c r="I192" s="76">
        <v>1.569</v>
      </c>
      <c r="J192" s="76">
        <v>2.2429999999999999</v>
      </c>
    </row>
    <row r="193" spans="2:10" x14ac:dyDescent="0.25">
      <c r="B193" s="76"/>
      <c r="C193" s="76" t="s">
        <v>144</v>
      </c>
      <c r="D193" s="76"/>
      <c r="E193" s="76">
        <v>0.11700000000000001</v>
      </c>
      <c r="F193" s="76">
        <v>71.063999999999993</v>
      </c>
      <c r="G193" s="76"/>
      <c r="H193" s="76"/>
      <c r="I193" s="76"/>
      <c r="J193" s="76"/>
    </row>
    <row r="194" spans="2:10" x14ac:dyDescent="0.25">
      <c r="B194" s="76" t="s">
        <v>131</v>
      </c>
      <c r="C194" s="76" t="s">
        <v>147</v>
      </c>
      <c r="D194" s="76"/>
      <c r="E194" s="76">
        <v>6.4000000000000001E-2</v>
      </c>
      <c r="F194" s="76">
        <v>15.379</v>
      </c>
      <c r="G194" s="76">
        <v>2</v>
      </c>
      <c r="H194" s="76">
        <v>15.907</v>
      </c>
      <c r="I194" s="76">
        <v>0.747</v>
      </c>
      <c r="J194" s="76">
        <v>4.6970000000000001</v>
      </c>
    </row>
    <row r="195" spans="2:10" x14ac:dyDescent="0.25">
      <c r="B195" s="76"/>
      <c r="C195" s="76" t="s">
        <v>148</v>
      </c>
      <c r="D195" s="76"/>
      <c r="E195" s="76">
        <v>6.5000000000000002E-2</v>
      </c>
      <c r="F195" s="76">
        <v>16.434999999999999</v>
      </c>
      <c r="G195" s="76"/>
      <c r="H195" s="76"/>
      <c r="I195" s="76"/>
      <c r="J195" s="76"/>
    </row>
    <row r="196" spans="2:10" x14ac:dyDescent="0.25">
      <c r="B196" s="76" t="s">
        <v>136</v>
      </c>
      <c r="C196" s="76" t="s">
        <v>151</v>
      </c>
      <c r="D196" s="76"/>
      <c r="E196" s="76">
        <v>0.13400000000000001</v>
      </c>
      <c r="F196" s="76">
        <v>89.766999999999996</v>
      </c>
      <c r="G196" s="76">
        <v>2</v>
      </c>
      <c r="H196" s="76">
        <v>90.611999999999995</v>
      </c>
      <c r="I196" s="76">
        <v>1.1950000000000001</v>
      </c>
      <c r="J196" s="76">
        <v>1.319</v>
      </c>
    </row>
    <row r="197" spans="2:10" x14ac:dyDescent="0.25">
      <c r="B197" s="76"/>
      <c r="C197" s="76" t="s">
        <v>152</v>
      </c>
      <c r="D197" s="76"/>
      <c r="E197" s="76">
        <v>0.13600000000000001</v>
      </c>
      <c r="F197" s="76">
        <v>91.456999999999994</v>
      </c>
      <c r="G197" s="76"/>
      <c r="H197" s="76"/>
      <c r="I197" s="76"/>
      <c r="J197" s="76"/>
    </row>
    <row r="198" spans="2:10" x14ac:dyDescent="0.25">
      <c r="B198" s="76" t="s">
        <v>200</v>
      </c>
      <c r="C198" s="76" t="s">
        <v>220</v>
      </c>
      <c r="D198" s="76"/>
      <c r="E198" s="76">
        <v>8.6999999999999994E-2</v>
      </c>
      <c r="F198" s="76">
        <v>39.576000000000001</v>
      </c>
      <c r="G198" s="76">
        <v>2</v>
      </c>
      <c r="H198" s="76">
        <v>36.459000000000003</v>
      </c>
      <c r="I198" s="76">
        <v>4.4080000000000004</v>
      </c>
      <c r="J198" s="76">
        <v>12.090999999999999</v>
      </c>
    </row>
    <row r="199" spans="2:10" x14ac:dyDescent="0.25">
      <c r="B199" s="76"/>
      <c r="C199" s="76" t="s">
        <v>221</v>
      </c>
      <c r="D199" s="76"/>
      <c r="E199" s="76">
        <v>8.1000000000000003E-2</v>
      </c>
      <c r="F199" s="76">
        <v>33.341999999999999</v>
      </c>
      <c r="G199" s="76"/>
      <c r="H199" s="76"/>
      <c r="I199" s="76"/>
      <c r="J199" s="76"/>
    </row>
    <row r="200" spans="2:10" x14ac:dyDescent="0.25">
      <c r="B200" s="76" t="s">
        <v>212</v>
      </c>
      <c r="C200" s="76" t="s">
        <v>224</v>
      </c>
      <c r="D200" s="76"/>
      <c r="E200" s="76">
        <v>7.3999999999999996E-2</v>
      </c>
      <c r="F200" s="76">
        <v>26.050999999999998</v>
      </c>
      <c r="G200" s="76">
        <v>2</v>
      </c>
      <c r="H200" s="76">
        <v>26.896000000000001</v>
      </c>
      <c r="I200" s="76">
        <v>1.1950000000000001</v>
      </c>
      <c r="J200" s="76">
        <v>4.4450000000000003</v>
      </c>
    </row>
    <row r="201" spans="2:10" x14ac:dyDescent="0.25">
      <c r="B201" s="76"/>
      <c r="C201" s="76" t="s">
        <v>225</v>
      </c>
      <c r="D201" s="76"/>
      <c r="E201" s="76">
        <v>7.5999999999999998E-2</v>
      </c>
      <c r="F201" s="76">
        <v>27.741</v>
      </c>
      <c r="G201" s="76"/>
      <c r="H201" s="76"/>
      <c r="I201" s="76"/>
      <c r="J201" s="76"/>
    </row>
    <row r="202" spans="2:10" x14ac:dyDescent="0.25">
      <c r="B202" s="76" t="s">
        <v>195</v>
      </c>
      <c r="C202" s="76" t="s">
        <v>226</v>
      </c>
      <c r="D202" s="76"/>
      <c r="E202" s="76">
        <v>8.7999999999999995E-2</v>
      </c>
      <c r="F202" s="76">
        <v>40.527000000000001</v>
      </c>
      <c r="G202" s="76">
        <v>2</v>
      </c>
      <c r="H202" s="76">
        <v>39.893000000000001</v>
      </c>
      <c r="I202" s="76">
        <v>0.89700000000000002</v>
      </c>
      <c r="J202" s="76">
        <v>2.2480000000000002</v>
      </c>
    </row>
    <row r="203" spans="2:10" x14ac:dyDescent="0.25">
      <c r="B203" s="76"/>
      <c r="C203" s="76" t="s">
        <v>227</v>
      </c>
      <c r="D203" s="76"/>
      <c r="E203" s="76">
        <v>8.6999999999999994E-2</v>
      </c>
      <c r="F203" s="76">
        <v>39.259</v>
      </c>
      <c r="G203" s="76"/>
      <c r="H203" s="76"/>
      <c r="I203" s="76"/>
      <c r="J203" s="76"/>
    </row>
    <row r="204" spans="2:10" x14ac:dyDescent="0.25">
      <c r="B204" s="76" t="s">
        <v>201</v>
      </c>
      <c r="C204" s="76" t="s">
        <v>228</v>
      </c>
      <c r="D204" s="76"/>
      <c r="E204" s="76">
        <v>0.159</v>
      </c>
      <c r="F204" s="76">
        <v>115.76</v>
      </c>
      <c r="G204" s="76">
        <v>1</v>
      </c>
      <c r="H204" s="76">
        <v>115.76</v>
      </c>
      <c r="I204" s="76" t="s">
        <v>99</v>
      </c>
      <c r="J204" s="76" t="s">
        <v>99</v>
      </c>
    </row>
    <row r="205" spans="2:10" x14ac:dyDescent="0.25">
      <c r="B205" s="76"/>
      <c r="C205" s="76" t="s">
        <v>229</v>
      </c>
      <c r="D205" s="76"/>
      <c r="E205" s="76">
        <v>4.3999999999999997E-2</v>
      </c>
      <c r="F205" s="76" t="s">
        <v>112</v>
      </c>
      <c r="G205" s="76"/>
      <c r="H205" s="76"/>
      <c r="I205" s="76"/>
      <c r="J205" s="76"/>
    </row>
    <row r="206" spans="2:10" x14ac:dyDescent="0.25">
      <c r="B206" s="76" t="s">
        <v>207</v>
      </c>
      <c r="C206" s="76" t="s">
        <v>230</v>
      </c>
      <c r="D206" s="76"/>
      <c r="E206" s="76">
        <v>0.186</v>
      </c>
      <c r="F206" s="76">
        <v>143.761</v>
      </c>
      <c r="G206" s="76">
        <v>2</v>
      </c>
      <c r="H206" s="76">
        <v>144.71199999999999</v>
      </c>
      <c r="I206" s="76">
        <v>1.345</v>
      </c>
      <c r="J206" s="76">
        <v>0.92900000000000005</v>
      </c>
    </row>
    <row r="207" spans="2:10" x14ac:dyDescent="0.25">
      <c r="B207" s="76"/>
      <c r="C207" s="76" t="s">
        <v>231</v>
      </c>
      <c r="D207" s="76"/>
      <c r="E207" s="76">
        <v>0.187</v>
      </c>
      <c r="F207" s="76">
        <v>145.66300000000001</v>
      </c>
      <c r="G207" s="76"/>
      <c r="H207" s="76"/>
      <c r="I207" s="76"/>
      <c r="J207" s="76"/>
    </row>
    <row r="208" spans="2:10" x14ac:dyDescent="0.25">
      <c r="B208" s="76" t="s">
        <v>213</v>
      </c>
      <c r="C208" s="76" t="s">
        <v>232</v>
      </c>
      <c r="D208" s="76"/>
      <c r="E208" s="76">
        <v>0.115</v>
      </c>
      <c r="F208" s="76">
        <v>68.844999999999999</v>
      </c>
      <c r="G208" s="76">
        <v>2</v>
      </c>
      <c r="H208" s="76">
        <v>56.746000000000002</v>
      </c>
      <c r="I208" s="76">
        <v>17.11</v>
      </c>
      <c r="J208" s="76">
        <v>30.152000000000001</v>
      </c>
    </row>
    <row r="209" spans="1:10" x14ac:dyDescent="0.25">
      <c r="B209" s="76"/>
      <c r="C209" s="76" t="s">
        <v>233</v>
      </c>
      <c r="D209" s="76"/>
      <c r="E209" s="76">
        <v>9.1999999999999998E-2</v>
      </c>
      <c r="F209" s="76">
        <v>44.648000000000003</v>
      </c>
      <c r="G209" s="76"/>
      <c r="H209" s="76"/>
      <c r="I209" s="76"/>
      <c r="J209" s="76"/>
    </row>
    <row r="210" spans="1:10" x14ac:dyDescent="0.25">
      <c r="B210" s="76" t="s">
        <v>98</v>
      </c>
      <c r="C210" s="76" t="s">
        <v>88</v>
      </c>
      <c r="D210" s="76">
        <v>0</v>
      </c>
      <c r="E210" s="76">
        <v>4.4999999999999998E-2</v>
      </c>
      <c r="F210" s="76" t="s">
        <v>112</v>
      </c>
      <c r="G210" s="76">
        <v>1</v>
      </c>
      <c r="H210" s="76">
        <v>0.69099999999999995</v>
      </c>
      <c r="I210" s="76" t="s">
        <v>99</v>
      </c>
      <c r="J210" s="76" t="s">
        <v>99</v>
      </c>
    </row>
    <row r="211" spans="1:10" x14ac:dyDescent="0.25">
      <c r="B211" s="76"/>
      <c r="C211" s="76" t="s">
        <v>89</v>
      </c>
      <c r="D211" s="76">
        <v>0</v>
      </c>
      <c r="E211" s="76">
        <v>0.05</v>
      </c>
      <c r="F211" s="76">
        <v>0.69099999999999995</v>
      </c>
      <c r="G211" s="76"/>
      <c r="H211" s="76"/>
      <c r="I211" s="76"/>
      <c r="J211" s="76"/>
    </row>
    <row r="212" spans="1:10" x14ac:dyDescent="0.25">
      <c r="B212" s="76" t="s">
        <v>43</v>
      </c>
      <c r="C212" s="76" t="s">
        <v>91</v>
      </c>
      <c r="D212" s="76">
        <v>12.5</v>
      </c>
      <c r="E212" s="76">
        <v>5.7000000000000002E-2</v>
      </c>
      <c r="F212" s="76">
        <v>7.665</v>
      </c>
      <c r="G212" s="76">
        <v>2</v>
      </c>
      <c r="H212" s="76">
        <v>8.0350000000000001</v>
      </c>
      <c r="I212" s="76">
        <v>0.52300000000000002</v>
      </c>
      <c r="J212" s="76">
        <v>6.5090000000000003</v>
      </c>
    </row>
    <row r="213" spans="1:10" x14ac:dyDescent="0.25">
      <c r="B213" s="76"/>
      <c r="C213" s="76" t="s">
        <v>90</v>
      </c>
      <c r="D213" s="76">
        <v>12.5</v>
      </c>
      <c r="E213" s="76">
        <v>5.7000000000000002E-2</v>
      </c>
      <c r="F213" s="76">
        <v>8.4049999999999994</v>
      </c>
      <c r="G213" s="76"/>
      <c r="H213" s="76"/>
      <c r="I213" s="76"/>
      <c r="J213" s="76"/>
    </row>
    <row r="214" spans="1:10" x14ac:dyDescent="0.25">
      <c r="B214" s="76" t="s">
        <v>49</v>
      </c>
      <c r="C214" s="76" t="s">
        <v>92</v>
      </c>
      <c r="D214" s="76">
        <v>50</v>
      </c>
      <c r="E214" s="76">
        <v>0.10199999999999999</v>
      </c>
      <c r="F214" s="76">
        <v>55.32</v>
      </c>
      <c r="G214" s="76">
        <v>2</v>
      </c>
      <c r="H214" s="76">
        <v>55.161000000000001</v>
      </c>
      <c r="I214" s="76">
        <v>0.224</v>
      </c>
      <c r="J214" s="76">
        <v>0.40600000000000003</v>
      </c>
    </row>
    <row r="215" spans="1:10" x14ac:dyDescent="0.25">
      <c r="B215" s="76"/>
      <c r="C215" s="76" t="s">
        <v>93</v>
      </c>
      <c r="D215" s="76">
        <v>50</v>
      </c>
      <c r="E215" s="76">
        <v>0.10199999999999999</v>
      </c>
      <c r="F215" s="76">
        <v>55.003</v>
      </c>
      <c r="G215" s="76"/>
      <c r="H215" s="76"/>
      <c r="I215" s="76"/>
      <c r="J215" s="76"/>
    </row>
    <row r="216" spans="1:10" x14ac:dyDescent="0.25">
      <c r="B216" s="76" t="s">
        <v>102</v>
      </c>
      <c r="C216" s="76" t="s">
        <v>94</v>
      </c>
      <c r="D216" s="76">
        <v>100</v>
      </c>
      <c r="E216" s="76">
        <v>0.14099999999999999</v>
      </c>
      <c r="F216" s="76">
        <v>97.269000000000005</v>
      </c>
      <c r="G216" s="76">
        <v>2</v>
      </c>
      <c r="H216" s="76">
        <v>101.548</v>
      </c>
      <c r="I216" s="76">
        <v>6.0519999999999996</v>
      </c>
      <c r="J216" s="76">
        <v>5.96</v>
      </c>
    </row>
    <row r="217" spans="1:10" x14ac:dyDescent="0.25">
      <c r="B217" s="76"/>
      <c r="C217" s="76" t="s">
        <v>95</v>
      </c>
      <c r="D217" s="76">
        <v>100</v>
      </c>
      <c r="E217" s="76">
        <v>0.15</v>
      </c>
      <c r="F217" s="76">
        <v>105.828</v>
      </c>
      <c r="G217" s="76"/>
      <c r="H217" s="76"/>
      <c r="I217" s="76"/>
      <c r="J217" s="76"/>
    </row>
    <row r="218" spans="1:10" x14ac:dyDescent="0.25">
      <c r="B218" s="76" t="s">
        <v>55</v>
      </c>
      <c r="C218" s="76" t="s">
        <v>66</v>
      </c>
      <c r="D218" s="76">
        <v>150</v>
      </c>
      <c r="E218" s="76">
        <v>0.19</v>
      </c>
      <c r="F218" s="76">
        <v>148.09299999999999</v>
      </c>
      <c r="G218" s="76">
        <v>2</v>
      </c>
      <c r="H218" s="76">
        <v>156.38800000000001</v>
      </c>
      <c r="I218" s="76">
        <v>11.73</v>
      </c>
      <c r="J218" s="76">
        <v>7.5010000000000003</v>
      </c>
    </row>
    <row r="219" spans="1:10" x14ac:dyDescent="0.25">
      <c r="B219" s="76"/>
      <c r="C219" s="76" t="s">
        <v>67</v>
      </c>
      <c r="D219" s="76">
        <v>150</v>
      </c>
      <c r="E219" s="76">
        <v>0.20499999999999999</v>
      </c>
      <c r="F219" s="76">
        <v>164.68299999999999</v>
      </c>
      <c r="G219" s="76"/>
      <c r="H219" s="76"/>
      <c r="I219" s="76"/>
      <c r="J219" s="76"/>
    </row>
    <row r="220" spans="1:10" x14ac:dyDescent="0.25">
      <c r="B220" s="76" t="s">
        <v>134</v>
      </c>
      <c r="C220" s="76" t="s">
        <v>68</v>
      </c>
      <c r="D220" s="76">
        <v>200</v>
      </c>
      <c r="E220" s="76">
        <v>0.22800000000000001</v>
      </c>
      <c r="F220" s="76">
        <v>188.14</v>
      </c>
      <c r="G220" s="76">
        <v>2</v>
      </c>
      <c r="H220" s="76">
        <v>193.42400000000001</v>
      </c>
      <c r="I220" s="76">
        <v>7.4720000000000004</v>
      </c>
      <c r="J220" s="76">
        <v>3.863</v>
      </c>
    </row>
    <row r="221" spans="1:10" x14ac:dyDescent="0.25">
      <c r="B221" s="76"/>
      <c r="C221" s="76" t="s">
        <v>69</v>
      </c>
      <c r="D221" s="76">
        <v>200</v>
      </c>
      <c r="E221" s="76">
        <v>0.23699999999999999</v>
      </c>
      <c r="F221" s="76">
        <v>198.70699999999999</v>
      </c>
      <c r="G221" s="76"/>
      <c r="H221" s="76"/>
      <c r="I221" s="76"/>
      <c r="J221" s="76"/>
    </row>
    <row r="223" spans="1:10" x14ac:dyDescent="0.25">
      <c r="A223" s="63" t="s">
        <v>266</v>
      </c>
      <c r="B223" s="64"/>
    </row>
    <row r="224" spans="1:10" x14ac:dyDescent="0.25">
      <c r="A224" s="60" t="s">
        <v>59</v>
      </c>
      <c r="B224" s="60">
        <v>26.5</v>
      </c>
    </row>
    <row r="226" spans="2:10" x14ac:dyDescent="0.25">
      <c r="B226" s="66" t="s">
        <v>39</v>
      </c>
      <c r="C226" s="66" t="s">
        <v>60</v>
      </c>
      <c r="D226" s="66" t="s">
        <v>40</v>
      </c>
      <c r="E226" s="66">
        <v>500</v>
      </c>
      <c r="F226" s="66" t="s">
        <v>266</v>
      </c>
      <c r="G226" s="66" t="s">
        <v>61</v>
      </c>
      <c r="H226" s="66" t="s">
        <v>4</v>
      </c>
      <c r="I226" s="66" t="s">
        <v>62</v>
      </c>
      <c r="J226" s="66" t="s">
        <v>63</v>
      </c>
    </row>
    <row r="227" spans="2:10" x14ac:dyDescent="0.25">
      <c r="B227" s="76" t="s">
        <v>36</v>
      </c>
      <c r="C227" s="76" t="s">
        <v>64</v>
      </c>
      <c r="D227" s="76"/>
      <c r="E227" s="76">
        <v>4.3999999999999997E-2</v>
      </c>
      <c r="F227" s="76">
        <v>0</v>
      </c>
      <c r="G227" s="76">
        <v>18</v>
      </c>
      <c r="H227" s="76">
        <v>0</v>
      </c>
      <c r="I227" s="76">
        <v>2E-3</v>
      </c>
      <c r="J227" s="76">
        <v>-2.84725100555445E+16</v>
      </c>
    </row>
    <row r="228" spans="2:10" x14ac:dyDescent="0.25">
      <c r="B228" s="76"/>
      <c r="C228" s="76" t="s">
        <v>65</v>
      </c>
      <c r="D228" s="76"/>
      <c r="E228" s="76">
        <v>4.2999999999999997E-2</v>
      </c>
      <c r="F228" s="76">
        <v>-1E-3</v>
      </c>
      <c r="G228" s="76"/>
      <c r="H228" s="76"/>
      <c r="I228" s="76"/>
      <c r="J228" s="76"/>
    </row>
    <row r="229" spans="2:10" x14ac:dyDescent="0.25">
      <c r="B229" s="76"/>
      <c r="C229" s="76" t="s">
        <v>76</v>
      </c>
      <c r="D229" s="76"/>
      <c r="E229" s="76">
        <v>4.2999999999999997E-2</v>
      </c>
      <c r="F229" s="76">
        <v>-1E-3</v>
      </c>
      <c r="G229" s="76"/>
      <c r="H229" s="76"/>
      <c r="I229" s="76"/>
      <c r="J229" s="76"/>
    </row>
    <row r="230" spans="2:10" x14ac:dyDescent="0.25">
      <c r="B230" s="76"/>
      <c r="C230" s="76" t="s">
        <v>77</v>
      </c>
      <c r="D230" s="76"/>
      <c r="E230" s="76">
        <v>4.2999999999999997E-2</v>
      </c>
      <c r="F230" s="76">
        <v>-1E-3</v>
      </c>
      <c r="G230" s="76"/>
      <c r="H230" s="76"/>
      <c r="I230" s="76"/>
      <c r="J230" s="76"/>
    </row>
    <row r="231" spans="2:10" x14ac:dyDescent="0.25">
      <c r="B231" s="76"/>
      <c r="C231" s="76" t="s">
        <v>78</v>
      </c>
      <c r="D231" s="76"/>
      <c r="E231" s="76">
        <v>4.2999999999999997E-2</v>
      </c>
      <c r="F231" s="76">
        <v>-1E-3</v>
      </c>
      <c r="G231" s="76"/>
      <c r="H231" s="76"/>
      <c r="I231" s="76"/>
      <c r="J231" s="76"/>
    </row>
    <row r="232" spans="2:10" x14ac:dyDescent="0.25">
      <c r="B232" s="76"/>
      <c r="C232" s="76" t="s">
        <v>79</v>
      </c>
      <c r="D232" s="76"/>
      <c r="E232" s="76">
        <v>4.2999999999999997E-2</v>
      </c>
      <c r="F232" s="76">
        <v>-1E-3</v>
      </c>
      <c r="G232" s="76"/>
      <c r="H232" s="76"/>
      <c r="I232" s="76"/>
      <c r="J232" s="76"/>
    </row>
    <row r="233" spans="2:10" x14ac:dyDescent="0.25">
      <c r="B233" s="76"/>
      <c r="C233" s="76" t="s">
        <v>139</v>
      </c>
      <c r="D233" s="76"/>
      <c r="E233" s="76">
        <v>4.2999999999999997E-2</v>
      </c>
      <c r="F233" s="76">
        <v>-1E-3</v>
      </c>
      <c r="G233" s="76"/>
      <c r="H233" s="76"/>
      <c r="I233" s="76"/>
      <c r="J233" s="76"/>
    </row>
    <row r="234" spans="2:10" x14ac:dyDescent="0.25">
      <c r="B234" s="76"/>
      <c r="C234" s="76" t="s">
        <v>140</v>
      </c>
      <c r="D234" s="76"/>
      <c r="E234" s="76">
        <v>4.2999999999999997E-2</v>
      </c>
      <c r="F234" s="76">
        <v>-1E-3</v>
      </c>
      <c r="G234" s="76"/>
      <c r="H234" s="76"/>
      <c r="I234" s="76"/>
      <c r="J234" s="76"/>
    </row>
    <row r="235" spans="2:10" x14ac:dyDescent="0.25">
      <c r="B235" s="76"/>
      <c r="C235" s="76" t="s">
        <v>145</v>
      </c>
      <c r="D235" s="76"/>
      <c r="E235" s="76">
        <v>4.3999999999999997E-2</v>
      </c>
      <c r="F235" s="76">
        <v>0</v>
      </c>
      <c r="G235" s="76"/>
      <c r="H235" s="76"/>
      <c r="I235" s="76"/>
      <c r="J235" s="76"/>
    </row>
    <row r="236" spans="2:10" x14ac:dyDescent="0.25">
      <c r="B236" s="76"/>
      <c r="C236" s="76" t="s">
        <v>146</v>
      </c>
      <c r="D236" s="76"/>
      <c r="E236" s="76">
        <v>4.2999999999999997E-2</v>
      </c>
      <c r="F236" s="76">
        <v>-1E-3</v>
      </c>
      <c r="G236" s="76"/>
      <c r="H236" s="76"/>
      <c r="I236" s="76"/>
      <c r="J236" s="76"/>
    </row>
    <row r="237" spans="2:10" x14ac:dyDescent="0.25">
      <c r="B237" s="76"/>
      <c r="C237" s="76" t="s">
        <v>153</v>
      </c>
      <c r="D237" s="76"/>
      <c r="E237" s="76">
        <v>4.5999999999999999E-2</v>
      </c>
      <c r="F237" s="76">
        <v>2E-3</v>
      </c>
      <c r="G237" s="76"/>
      <c r="H237" s="76"/>
      <c r="I237" s="76"/>
      <c r="J237" s="76"/>
    </row>
    <row r="238" spans="2:10" x14ac:dyDescent="0.25">
      <c r="B238" s="76"/>
      <c r="C238" s="76" t="s">
        <v>154</v>
      </c>
      <c r="D238" s="76"/>
      <c r="E238" s="76">
        <v>4.3999999999999997E-2</v>
      </c>
      <c r="F238" s="76">
        <v>0</v>
      </c>
      <c r="G238" s="76"/>
      <c r="H238" s="76"/>
      <c r="I238" s="76"/>
      <c r="J238" s="76"/>
    </row>
    <row r="239" spans="2:10" x14ac:dyDescent="0.25">
      <c r="B239" s="76"/>
      <c r="C239" s="76" t="s">
        <v>149</v>
      </c>
      <c r="D239" s="76"/>
      <c r="E239" s="76">
        <v>4.2999999999999997E-2</v>
      </c>
      <c r="F239" s="76">
        <v>0</v>
      </c>
      <c r="G239" s="76"/>
      <c r="H239" s="76"/>
      <c r="I239" s="76"/>
      <c r="J239" s="76"/>
    </row>
    <row r="240" spans="2:10" x14ac:dyDescent="0.25">
      <c r="B240" s="76"/>
      <c r="C240" s="76" t="s">
        <v>150</v>
      </c>
      <c r="D240" s="76"/>
      <c r="E240" s="76">
        <v>4.2999999999999997E-2</v>
      </c>
      <c r="F240" s="76">
        <v>-1E-3</v>
      </c>
      <c r="G240" s="76"/>
      <c r="H240" s="76"/>
      <c r="I240" s="76"/>
      <c r="J240" s="76"/>
    </row>
    <row r="241" spans="2:10" x14ac:dyDescent="0.25">
      <c r="B241" s="76"/>
      <c r="C241" s="76" t="s">
        <v>218</v>
      </c>
      <c r="D241" s="76"/>
      <c r="E241" s="76">
        <v>4.7E-2</v>
      </c>
      <c r="F241" s="76">
        <v>3.0000000000000001E-3</v>
      </c>
      <c r="G241" s="76"/>
      <c r="H241" s="76"/>
      <c r="I241" s="76"/>
      <c r="J241" s="76"/>
    </row>
    <row r="242" spans="2:10" x14ac:dyDescent="0.25">
      <c r="B242" s="76"/>
      <c r="C242" s="76" t="s">
        <v>219</v>
      </c>
      <c r="D242" s="76"/>
      <c r="E242" s="76">
        <v>4.2999999999999997E-2</v>
      </c>
      <c r="F242" s="76">
        <v>-1E-3</v>
      </c>
      <c r="G242" s="76"/>
      <c r="H242" s="76"/>
      <c r="I242" s="76"/>
      <c r="J242" s="76"/>
    </row>
    <row r="243" spans="2:10" x14ac:dyDescent="0.25">
      <c r="B243" s="76"/>
      <c r="C243" s="76" t="s">
        <v>222</v>
      </c>
      <c r="D243" s="76"/>
      <c r="E243" s="76">
        <v>0.05</v>
      </c>
      <c r="F243" s="76">
        <v>6.0000000000000001E-3</v>
      </c>
      <c r="G243" s="76"/>
      <c r="H243" s="76"/>
      <c r="I243" s="76"/>
      <c r="J243" s="76"/>
    </row>
    <row r="244" spans="2:10" x14ac:dyDescent="0.25">
      <c r="B244" s="76"/>
      <c r="C244" s="76" t="s">
        <v>223</v>
      </c>
      <c r="D244" s="76"/>
      <c r="E244" s="76">
        <v>4.3999999999999997E-2</v>
      </c>
      <c r="F244" s="76">
        <v>0</v>
      </c>
      <c r="G244" s="76"/>
      <c r="H244" s="76"/>
      <c r="I244" s="76"/>
      <c r="J244" s="76"/>
    </row>
    <row r="245" spans="2:10" x14ac:dyDescent="0.25">
      <c r="B245" s="76" t="s">
        <v>44</v>
      </c>
      <c r="C245" s="76" t="s">
        <v>70</v>
      </c>
      <c r="D245" s="76"/>
      <c r="E245" s="76">
        <v>0.122</v>
      </c>
      <c r="F245" s="76">
        <v>7.8E-2</v>
      </c>
      <c r="G245" s="76">
        <v>2</v>
      </c>
      <c r="H245" s="76">
        <v>0.08</v>
      </c>
      <c r="I245" s="76">
        <v>2E-3</v>
      </c>
      <c r="J245" s="76">
        <v>3.0939999999999999</v>
      </c>
    </row>
    <row r="246" spans="2:10" x14ac:dyDescent="0.25">
      <c r="B246" s="76"/>
      <c r="C246" s="76" t="s">
        <v>71</v>
      </c>
      <c r="D246" s="76"/>
      <c r="E246" s="76">
        <v>0.126</v>
      </c>
      <c r="F246" s="76">
        <v>8.2000000000000003E-2</v>
      </c>
      <c r="G246" s="76"/>
      <c r="H246" s="76"/>
      <c r="I246" s="76"/>
      <c r="J246" s="76"/>
    </row>
    <row r="247" spans="2:10" x14ac:dyDescent="0.25">
      <c r="B247" s="76" t="s">
        <v>50</v>
      </c>
      <c r="C247" s="76" t="s">
        <v>72</v>
      </c>
      <c r="D247" s="76"/>
      <c r="E247" s="76">
        <v>0.126</v>
      </c>
      <c r="F247" s="76">
        <v>8.2000000000000003E-2</v>
      </c>
      <c r="G247" s="76">
        <v>2</v>
      </c>
      <c r="H247" s="76">
        <v>8.2000000000000003E-2</v>
      </c>
      <c r="I247" s="76">
        <v>1E-3</v>
      </c>
      <c r="J247" s="76">
        <v>0.86</v>
      </c>
    </row>
    <row r="248" spans="2:10" x14ac:dyDescent="0.25">
      <c r="B248" s="76"/>
      <c r="C248" s="76" t="s">
        <v>73</v>
      </c>
      <c r="D248" s="76"/>
      <c r="E248" s="76">
        <v>0.127</v>
      </c>
      <c r="F248" s="76">
        <v>8.3000000000000004E-2</v>
      </c>
      <c r="G248" s="76"/>
      <c r="H248" s="76"/>
      <c r="I248" s="76"/>
      <c r="J248" s="76"/>
    </row>
    <row r="249" spans="2:10" x14ac:dyDescent="0.25">
      <c r="B249" s="76" t="s">
        <v>56</v>
      </c>
      <c r="C249" s="76" t="s">
        <v>74</v>
      </c>
      <c r="D249" s="76"/>
      <c r="E249" s="76">
        <v>0.11899999999999999</v>
      </c>
      <c r="F249" s="76">
        <v>7.4999999999999997E-2</v>
      </c>
      <c r="G249" s="76">
        <v>2</v>
      </c>
      <c r="H249" s="76">
        <v>0.08</v>
      </c>
      <c r="I249" s="76">
        <v>7.0000000000000001E-3</v>
      </c>
      <c r="J249" s="76">
        <v>8.7200000000000006</v>
      </c>
    </row>
    <row r="250" spans="2:10" x14ac:dyDescent="0.25">
      <c r="B250" s="76"/>
      <c r="C250" s="76" t="s">
        <v>75</v>
      </c>
      <c r="D250" s="76"/>
      <c r="E250" s="76">
        <v>0.129</v>
      </c>
      <c r="F250" s="76">
        <v>8.5000000000000006E-2</v>
      </c>
      <c r="G250" s="76"/>
      <c r="H250" s="76"/>
      <c r="I250" s="76"/>
      <c r="J250" s="76"/>
    </row>
    <row r="251" spans="2:10" x14ac:dyDescent="0.25">
      <c r="B251" s="76" t="s">
        <v>51</v>
      </c>
      <c r="C251" s="76" t="s">
        <v>80</v>
      </c>
      <c r="D251" s="76"/>
      <c r="E251" s="76">
        <v>5.1999999999999998E-2</v>
      </c>
      <c r="F251" s="76">
        <v>8.9999999999999993E-3</v>
      </c>
      <c r="G251" s="76">
        <v>2</v>
      </c>
      <c r="H251" s="76">
        <v>8.0000000000000002E-3</v>
      </c>
      <c r="I251" s="76">
        <v>0</v>
      </c>
      <c r="J251" s="76">
        <v>4.22</v>
      </c>
    </row>
    <row r="252" spans="2:10" x14ac:dyDescent="0.25">
      <c r="B252" s="76"/>
      <c r="C252" s="76" t="s">
        <v>81</v>
      </c>
      <c r="D252" s="76"/>
      <c r="E252" s="76">
        <v>5.1999999999999998E-2</v>
      </c>
      <c r="F252" s="76">
        <v>8.0000000000000002E-3</v>
      </c>
      <c r="G252" s="76"/>
      <c r="H252" s="76"/>
      <c r="I252" s="76"/>
      <c r="J252" s="76"/>
    </row>
    <row r="253" spans="2:10" x14ac:dyDescent="0.25">
      <c r="B253" s="76" t="s">
        <v>57</v>
      </c>
      <c r="C253" s="76" t="s">
        <v>82</v>
      </c>
      <c r="D253" s="76"/>
      <c r="E253" s="76">
        <v>0.125</v>
      </c>
      <c r="F253" s="76">
        <v>8.1000000000000003E-2</v>
      </c>
      <c r="G253" s="76">
        <v>2</v>
      </c>
      <c r="H253" s="76">
        <v>8.1000000000000003E-2</v>
      </c>
      <c r="I253" s="76">
        <v>0</v>
      </c>
      <c r="J253" s="76">
        <v>0.52100000000000002</v>
      </c>
    </row>
    <row r="254" spans="2:10" x14ac:dyDescent="0.25">
      <c r="B254" s="76"/>
      <c r="C254" s="76" t="s">
        <v>83</v>
      </c>
      <c r="D254" s="76"/>
      <c r="E254" s="76">
        <v>0.126</v>
      </c>
      <c r="F254" s="76">
        <v>8.2000000000000003E-2</v>
      </c>
      <c r="G254" s="76"/>
      <c r="H254" s="76"/>
      <c r="I254" s="76"/>
      <c r="J254" s="76"/>
    </row>
    <row r="255" spans="2:10" x14ac:dyDescent="0.25">
      <c r="B255" s="76" t="s">
        <v>38</v>
      </c>
      <c r="C255" s="76" t="s">
        <v>84</v>
      </c>
      <c r="D255" s="76"/>
      <c r="E255" s="76">
        <v>0.106</v>
      </c>
      <c r="F255" s="76">
        <v>6.2E-2</v>
      </c>
      <c r="G255" s="76">
        <v>2</v>
      </c>
      <c r="H255" s="76">
        <v>6.3E-2</v>
      </c>
      <c r="I255" s="76">
        <v>1E-3</v>
      </c>
      <c r="J255" s="76">
        <v>1.127</v>
      </c>
    </row>
    <row r="256" spans="2:10" x14ac:dyDescent="0.25">
      <c r="B256" s="76"/>
      <c r="C256" s="76" t="s">
        <v>85</v>
      </c>
      <c r="D256" s="76"/>
      <c r="E256" s="76">
        <v>0.107</v>
      </c>
      <c r="F256" s="76">
        <v>6.3E-2</v>
      </c>
      <c r="G256" s="76"/>
      <c r="H256" s="76"/>
      <c r="I256" s="76"/>
      <c r="J256" s="76"/>
    </row>
    <row r="257" spans="2:10" x14ac:dyDescent="0.25">
      <c r="B257" s="76" t="s">
        <v>46</v>
      </c>
      <c r="C257" s="76" t="s">
        <v>86</v>
      </c>
      <c r="D257" s="76"/>
      <c r="E257" s="76">
        <v>0.153</v>
      </c>
      <c r="F257" s="76">
        <v>0.109</v>
      </c>
      <c r="G257" s="76">
        <v>2</v>
      </c>
      <c r="H257" s="76">
        <v>0.106</v>
      </c>
      <c r="I257" s="76">
        <v>4.0000000000000001E-3</v>
      </c>
      <c r="J257" s="76">
        <v>3.7240000000000002</v>
      </c>
    </row>
    <row r="258" spans="2:10" x14ac:dyDescent="0.25">
      <c r="B258" s="76"/>
      <c r="C258" s="76" t="s">
        <v>87</v>
      </c>
      <c r="D258" s="76"/>
      <c r="E258" s="76">
        <v>0.14699999999999999</v>
      </c>
      <c r="F258" s="76">
        <v>0.104</v>
      </c>
      <c r="G258" s="76"/>
      <c r="H258" s="76"/>
      <c r="I258" s="76"/>
      <c r="J258" s="76"/>
    </row>
    <row r="259" spans="2:10" x14ac:dyDescent="0.25">
      <c r="B259" s="76" t="s">
        <v>132</v>
      </c>
      <c r="C259" s="76" t="s">
        <v>141</v>
      </c>
      <c r="D259" s="76"/>
      <c r="E259" s="76">
        <v>8.2000000000000003E-2</v>
      </c>
      <c r="F259" s="76">
        <v>3.7999999999999999E-2</v>
      </c>
      <c r="G259" s="76">
        <v>2</v>
      </c>
      <c r="H259" s="76">
        <v>3.6999999999999998E-2</v>
      </c>
      <c r="I259" s="76">
        <v>1E-3</v>
      </c>
      <c r="J259" s="76">
        <v>2.0920000000000001</v>
      </c>
    </row>
    <row r="260" spans="2:10" x14ac:dyDescent="0.25">
      <c r="B260" s="76"/>
      <c r="C260" s="76" t="s">
        <v>142</v>
      </c>
      <c r="D260" s="76"/>
      <c r="E260" s="76">
        <v>8.1000000000000003E-2</v>
      </c>
      <c r="F260" s="76">
        <v>3.6999999999999998E-2</v>
      </c>
      <c r="G260" s="76"/>
      <c r="H260" s="76"/>
      <c r="I260" s="76"/>
      <c r="J260" s="76"/>
    </row>
    <row r="261" spans="2:10" x14ac:dyDescent="0.25">
      <c r="B261" s="76" t="s">
        <v>135</v>
      </c>
      <c r="C261" s="76" t="s">
        <v>143</v>
      </c>
      <c r="D261" s="76"/>
      <c r="E261" s="76">
        <v>0.115</v>
      </c>
      <c r="F261" s="76">
        <v>7.0999999999999994E-2</v>
      </c>
      <c r="G261" s="76">
        <v>2</v>
      </c>
      <c r="H261" s="76">
        <v>7.1999999999999995E-2</v>
      </c>
      <c r="I261" s="76">
        <v>1E-3</v>
      </c>
      <c r="J261" s="76">
        <v>2.069</v>
      </c>
    </row>
    <row r="262" spans="2:10" x14ac:dyDescent="0.25">
      <c r="B262" s="76"/>
      <c r="C262" s="76" t="s">
        <v>144</v>
      </c>
      <c r="D262" s="76"/>
      <c r="E262" s="76">
        <v>0.11700000000000001</v>
      </c>
      <c r="F262" s="76">
        <v>7.2999999999999995E-2</v>
      </c>
      <c r="G262" s="76"/>
      <c r="H262" s="76"/>
      <c r="I262" s="76"/>
      <c r="J262" s="76"/>
    </row>
    <row r="263" spans="2:10" x14ac:dyDescent="0.25">
      <c r="B263" s="76" t="s">
        <v>131</v>
      </c>
      <c r="C263" s="76" t="s">
        <v>147</v>
      </c>
      <c r="D263" s="76"/>
      <c r="E263" s="76">
        <v>6.4000000000000001E-2</v>
      </c>
      <c r="F263" s="76">
        <v>0.02</v>
      </c>
      <c r="G263" s="76">
        <v>2</v>
      </c>
      <c r="H263" s="76">
        <v>2.1000000000000001E-2</v>
      </c>
      <c r="I263" s="76">
        <v>1E-3</v>
      </c>
      <c r="J263" s="76">
        <v>3.4279999999999999</v>
      </c>
    </row>
    <row r="264" spans="2:10" x14ac:dyDescent="0.25">
      <c r="B264" s="76"/>
      <c r="C264" s="76" t="s">
        <v>148</v>
      </c>
      <c r="D264" s="76"/>
      <c r="E264" s="76">
        <v>6.5000000000000002E-2</v>
      </c>
      <c r="F264" s="76">
        <v>2.1000000000000001E-2</v>
      </c>
      <c r="G264" s="76"/>
      <c r="H264" s="76"/>
      <c r="I264" s="76"/>
      <c r="J264" s="76"/>
    </row>
    <row r="265" spans="2:10" x14ac:dyDescent="0.25">
      <c r="B265" s="76" t="s">
        <v>136</v>
      </c>
      <c r="C265" s="76" t="s">
        <v>151</v>
      </c>
      <c r="D265" s="76"/>
      <c r="E265" s="76">
        <v>0.13400000000000001</v>
      </c>
      <c r="F265" s="76">
        <v>9.0999999999999998E-2</v>
      </c>
      <c r="G265" s="76">
        <v>2</v>
      </c>
      <c r="H265" s="76">
        <v>9.0999999999999998E-2</v>
      </c>
      <c r="I265" s="76">
        <v>1E-3</v>
      </c>
      <c r="J265" s="76">
        <v>1.2390000000000001</v>
      </c>
    </row>
    <row r="266" spans="2:10" x14ac:dyDescent="0.25">
      <c r="B266" s="76"/>
      <c r="C266" s="76" t="s">
        <v>152</v>
      </c>
      <c r="D266" s="76"/>
      <c r="E266" s="76">
        <v>0.13600000000000001</v>
      </c>
      <c r="F266" s="76">
        <v>9.1999999999999998E-2</v>
      </c>
      <c r="G266" s="76"/>
      <c r="H266" s="76"/>
      <c r="I266" s="76"/>
      <c r="J266" s="76"/>
    </row>
    <row r="267" spans="2:10" x14ac:dyDescent="0.25">
      <c r="B267" s="76" t="s">
        <v>200</v>
      </c>
      <c r="C267" s="76" t="s">
        <v>220</v>
      </c>
      <c r="D267" s="76"/>
      <c r="E267" s="76">
        <v>8.6999999999999994E-2</v>
      </c>
      <c r="F267" s="76">
        <v>4.2999999999999997E-2</v>
      </c>
      <c r="G267" s="76">
        <v>2</v>
      </c>
      <c r="H267" s="76">
        <v>0.04</v>
      </c>
      <c r="I267" s="76">
        <v>4.0000000000000001E-3</v>
      </c>
      <c r="J267" s="76">
        <v>10.41</v>
      </c>
    </row>
    <row r="268" spans="2:10" x14ac:dyDescent="0.25">
      <c r="B268" s="76"/>
      <c r="C268" s="76" t="s">
        <v>221</v>
      </c>
      <c r="D268" s="76"/>
      <c r="E268" s="76">
        <v>8.1000000000000003E-2</v>
      </c>
      <c r="F268" s="76">
        <v>3.6999999999999998E-2</v>
      </c>
      <c r="G268" s="76"/>
      <c r="H268" s="76"/>
      <c r="I268" s="76"/>
      <c r="J268" s="76"/>
    </row>
    <row r="269" spans="2:10" x14ac:dyDescent="0.25">
      <c r="B269" s="76" t="s">
        <v>212</v>
      </c>
      <c r="C269" s="76" t="s">
        <v>224</v>
      </c>
      <c r="D269" s="76"/>
      <c r="E269" s="76">
        <v>7.3999999999999996E-2</v>
      </c>
      <c r="F269" s="76">
        <v>0.03</v>
      </c>
      <c r="G269" s="76">
        <v>2</v>
      </c>
      <c r="H269" s="76">
        <v>3.1E-2</v>
      </c>
      <c r="I269" s="76">
        <v>1E-3</v>
      </c>
      <c r="J269" s="76">
        <v>3.6459999999999999</v>
      </c>
    </row>
    <row r="270" spans="2:10" x14ac:dyDescent="0.25">
      <c r="B270" s="76"/>
      <c r="C270" s="76" t="s">
        <v>225</v>
      </c>
      <c r="D270" s="76"/>
      <c r="E270" s="76">
        <v>7.5999999999999998E-2</v>
      </c>
      <c r="F270" s="76">
        <v>3.2000000000000001E-2</v>
      </c>
      <c r="G270" s="76"/>
      <c r="H270" s="76"/>
      <c r="I270" s="76"/>
      <c r="J270" s="76"/>
    </row>
    <row r="271" spans="2:10" x14ac:dyDescent="0.25">
      <c r="B271" s="76" t="s">
        <v>195</v>
      </c>
      <c r="C271" s="76" t="s">
        <v>226</v>
      </c>
      <c r="D271" s="76"/>
      <c r="E271" s="76">
        <v>8.7999999999999995E-2</v>
      </c>
      <c r="F271" s="76">
        <v>4.3999999999999997E-2</v>
      </c>
      <c r="G271" s="76">
        <v>2</v>
      </c>
      <c r="H271" s="76">
        <v>4.2999999999999997E-2</v>
      </c>
      <c r="I271" s="76">
        <v>1E-3</v>
      </c>
      <c r="J271" s="76">
        <v>1.958</v>
      </c>
    </row>
    <row r="272" spans="2:10" x14ac:dyDescent="0.25">
      <c r="B272" s="76"/>
      <c r="C272" s="76" t="s">
        <v>227</v>
      </c>
      <c r="D272" s="76"/>
      <c r="E272" s="76">
        <v>8.6999999999999994E-2</v>
      </c>
      <c r="F272" s="76">
        <v>4.2999999999999997E-2</v>
      </c>
      <c r="G272" s="76"/>
      <c r="H272" s="76"/>
      <c r="I272" s="76"/>
      <c r="J272" s="76"/>
    </row>
    <row r="273" spans="2:10" x14ac:dyDescent="0.25">
      <c r="B273" s="76" t="s">
        <v>201</v>
      </c>
      <c r="C273" s="76" t="s">
        <v>228</v>
      </c>
      <c r="D273" s="76"/>
      <c r="E273" s="76">
        <v>0.159</v>
      </c>
      <c r="F273" s="76">
        <v>0.115</v>
      </c>
      <c r="G273" s="76">
        <v>2</v>
      </c>
      <c r="H273" s="76">
        <v>5.8000000000000003E-2</v>
      </c>
      <c r="I273" s="76">
        <v>8.1000000000000003E-2</v>
      </c>
      <c r="J273" s="76">
        <v>140.374</v>
      </c>
    </row>
    <row r="274" spans="2:10" x14ac:dyDescent="0.25">
      <c r="B274" s="76"/>
      <c r="C274" s="76" t="s">
        <v>229</v>
      </c>
      <c r="D274" s="76"/>
      <c r="E274" s="76">
        <v>4.3999999999999997E-2</v>
      </c>
      <c r="F274" s="76">
        <v>0</v>
      </c>
      <c r="G274" s="76"/>
      <c r="H274" s="76"/>
      <c r="I274" s="76"/>
      <c r="J274" s="76"/>
    </row>
    <row r="275" spans="2:10" x14ac:dyDescent="0.25">
      <c r="B275" s="76" t="s">
        <v>207</v>
      </c>
      <c r="C275" s="76" t="s">
        <v>230</v>
      </c>
      <c r="D275" s="76"/>
      <c r="E275" s="76">
        <v>0.186</v>
      </c>
      <c r="F275" s="76">
        <v>0.14199999999999999</v>
      </c>
      <c r="G275" s="76">
        <v>2</v>
      </c>
      <c r="H275" s="76">
        <v>0.14299999999999999</v>
      </c>
      <c r="I275" s="76">
        <v>1E-3</v>
      </c>
      <c r="J275" s="76">
        <v>0.89300000000000002</v>
      </c>
    </row>
    <row r="276" spans="2:10" x14ac:dyDescent="0.25">
      <c r="B276" s="76"/>
      <c r="C276" s="76" t="s">
        <v>231</v>
      </c>
      <c r="D276" s="76"/>
      <c r="E276" s="76">
        <v>0.187</v>
      </c>
      <c r="F276" s="76">
        <v>0.14299999999999999</v>
      </c>
      <c r="G276" s="76"/>
      <c r="H276" s="76"/>
      <c r="I276" s="76"/>
      <c r="J276" s="76"/>
    </row>
    <row r="277" spans="2:10" x14ac:dyDescent="0.25">
      <c r="B277" s="76" t="s">
        <v>213</v>
      </c>
      <c r="C277" s="76" t="s">
        <v>232</v>
      </c>
      <c r="D277" s="76"/>
      <c r="E277" s="76">
        <v>0.115</v>
      </c>
      <c r="F277" s="76">
        <v>7.0999999999999994E-2</v>
      </c>
      <c r="G277" s="76">
        <v>2</v>
      </c>
      <c r="H277" s="76">
        <v>5.8999999999999997E-2</v>
      </c>
      <c r="I277" s="76">
        <v>1.6E-2</v>
      </c>
      <c r="J277" s="76">
        <v>27.317</v>
      </c>
    </row>
    <row r="278" spans="2:10" x14ac:dyDescent="0.25">
      <c r="B278" s="76"/>
      <c r="C278" s="76" t="s">
        <v>233</v>
      </c>
      <c r="D278" s="76"/>
      <c r="E278" s="76">
        <v>9.1999999999999998E-2</v>
      </c>
      <c r="F278" s="76">
        <v>4.8000000000000001E-2</v>
      </c>
      <c r="G278" s="76"/>
      <c r="H278" s="76"/>
      <c r="I278" s="76"/>
      <c r="J278" s="76"/>
    </row>
    <row r="279" spans="2:10" x14ac:dyDescent="0.25">
      <c r="B279" s="76" t="s">
        <v>98</v>
      </c>
      <c r="C279" s="76" t="s">
        <v>88</v>
      </c>
      <c r="D279" s="76">
        <v>0</v>
      </c>
      <c r="E279" s="76">
        <v>4.4999999999999998E-2</v>
      </c>
      <c r="F279" s="76">
        <v>1E-3</v>
      </c>
      <c r="G279" s="76">
        <v>2</v>
      </c>
      <c r="H279" s="76">
        <v>4.0000000000000001E-3</v>
      </c>
      <c r="I279" s="76">
        <v>4.0000000000000001E-3</v>
      </c>
      <c r="J279" s="76">
        <v>101.35599999999999</v>
      </c>
    </row>
    <row r="280" spans="2:10" x14ac:dyDescent="0.25">
      <c r="B280" s="76"/>
      <c r="C280" s="76" t="s">
        <v>89</v>
      </c>
      <c r="D280" s="76">
        <v>0</v>
      </c>
      <c r="E280" s="76">
        <v>0.05</v>
      </c>
      <c r="F280" s="76">
        <v>6.0000000000000001E-3</v>
      </c>
      <c r="G280" s="76"/>
      <c r="H280" s="76"/>
      <c r="I280" s="76"/>
      <c r="J280" s="76"/>
    </row>
    <row r="281" spans="2:10" x14ac:dyDescent="0.25">
      <c r="B281" s="76" t="s">
        <v>43</v>
      </c>
      <c r="C281" s="76" t="s">
        <v>91</v>
      </c>
      <c r="D281" s="76">
        <v>12.5</v>
      </c>
      <c r="E281" s="76">
        <v>5.7000000000000002E-2</v>
      </c>
      <c r="F281" s="76">
        <v>1.2999999999999999E-2</v>
      </c>
      <c r="G281" s="76">
        <v>2</v>
      </c>
      <c r="H281" s="76">
        <v>1.2999999999999999E-2</v>
      </c>
      <c r="I281" s="76">
        <v>0</v>
      </c>
      <c r="J281" s="76">
        <v>3.7559999999999998</v>
      </c>
    </row>
    <row r="282" spans="2:10" x14ac:dyDescent="0.25">
      <c r="B282" s="76"/>
      <c r="C282" s="76" t="s">
        <v>90</v>
      </c>
      <c r="D282" s="76">
        <v>12.5</v>
      </c>
      <c r="E282" s="76">
        <v>5.7000000000000002E-2</v>
      </c>
      <c r="F282" s="76">
        <v>1.4E-2</v>
      </c>
      <c r="G282" s="76"/>
      <c r="H282" s="76"/>
      <c r="I282" s="76"/>
      <c r="J282" s="76"/>
    </row>
    <row r="283" spans="2:10" x14ac:dyDescent="0.25">
      <c r="B283" s="76" t="s">
        <v>49</v>
      </c>
      <c r="C283" s="76" t="s">
        <v>92</v>
      </c>
      <c r="D283" s="76">
        <v>50</v>
      </c>
      <c r="E283" s="76">
        <v>0.10199999999999999</v>
      </c>
      <c r="F283" s="76">
        <v>5.8000000000000003E-2</v>
      </c>
      <c r="G283" s="76">
        <v>2</v>
      </c>
      <c r="H283" s="76">
        <v>5.8000000000000003E-2</v>
      </c>
      <c r="I283" s="76">
        <v>0</v>
      </c>
      <c r="J283" s="76">
        <v>0.36699999999999999</v>
      </c>
    </row>
    <row r="284" spans="2:10" x14ac:dyDescent="0.25">
      <c r="B284" s="76"/>
      <c r="C284" s="76" t="s">
        <v>93</v>
      </c>
      <c r="D284" s="76">
        <v>50</v>
      </c>
      <c r="E284" s="76">
        <v>0.10199999999999999</v>
      </c>
      <c r="F284" s="76">
        <v>5.8000000000000003E-2</v>
      </c>
      <c r="G284" s="76"/>
      <c r="H284" s="76"/>
      <c r="I284" s="76"/>
      <c r="J284" s="76"/>
    </row>
    <row r="285" spans="2:10" x14ac:dyDescent="0.25">
      <c r="B285" s="76" t="s">
        <v>102</v>
      </c>
      <c r="C285" s="76" t="s">
        <v>94</v>
      </c>
      <c r="D285" s="76">
        <v>100</v>
      </c>
      <c r="E285" s="76">
        <v>0.14099999999999999</v>
      </c>
      <c r="F285" s="76">
        <v>9.8000000000000004E-2</v>
      </c>
      <c r="G285" s="76">
        <v>2</v>
      </c>
      <c r="H285" s="76">
        <v>0.10199999999999999</v>
      </c>
      <c r="I285" s="76">
        <v>6.0000000000000001E-3</v>
      </c>
      <c r="J285" s="76">
        <v>5.633</v>
      </c>
    </row>
    <row r="286" spans="2:10" x14ac:dyDescent="0.25">
      <c r="B286" s="76"/>
      <c r="C286" s="76" t="s">
        <v>95</v>
      </c>
      <c r="D286" s="76">
        <v>100</v>
      </c>
      <c r="E286" s="76">
        <v>0.15</v>
      </c>
      <c r="F286" s="76">
        <v>0.106</v>
      </c>
      <c r="G286" s="76"/>
      <c r="H286" s="76"/>
      <c r="I286" s="76"/>
      <c r="J286" s="76"/>
    </row>
    <row r="287" spans="2:10" x14ac:dyDescent="0.25">
      <c r="B287" s="76" t="s">
        <v>55</v>
      </c>
      <c r="C287" s="76" t="s">
        <v>66</v>
      </c>
      <c r="D287" s="76">
        <v>150</v>
      </c>
      <c r="E287" s="76">
        <v>0.19</v>
      </c>
      <c r="F287" s="76">
        <v>0.14599999999999999</v>
      </c>
      <c r="G287" s="76">
        <v>2</v>
      </c>
      <c r="H287" s="76">
        <v>0.154</v>
      </c>
      <c r="I287" s="76">
        <v>1.0999999999999999E-2</v>
      </c>
      <c r="J287" s="76">
        <v>7.2290000000000001</v>
      </c>
    </row>
    <row r="288" spans="2:10" x14ac:dyDescent="0.25">
      <c r="B288" s="76"/>
      <c r="C288" s="76" t="s">
        <v>67</v>
      </c>
      <c r="D288" s="76">
        <v>150</v>
      </c>
      <c r="E288" s="76">
        <v>0.20499999999999999</v>
      </c>
      <c r="F288" s="76">
        <v>0.161</v>
      </c>
      <c r="G288" s="76"/>
      <c r="H288" s="76"/>
      <c r="I288" s="76"/>
      <c r="J288" s="76"/>
    </row>
    <row r="289" spans="2:10" x14ac:dyDescent="0.25">
      <c r="B289" s="76" t="s">
        <v>134</v>
      </c>
      <c r="C289" s="76" t="s">
        <v>68</v>
      </c>
      <c r="D289" s="76">
        <v>200</v>
      </c>
      <c r="E289" s="76">
        <v>0.22800000000000001</v>
      </c>
      <c r="F289" s="76">
        <v>0.184</v>
      </c>
      <c r="G289" s="76">
        <v>2</v>
      </c>
      <c r="H289" s="76">
        <v>0.189</v>
      </c>
      <c r="I289" s="76">
        <v>7.0000000000000001E-3</v>
      </c>
      <c r="J289" s="76">
        <v>3.7490000000000001</v>
      </c>
    </row>
    <row r="290" spans="2:10" x14ac:dyDescent="0.25">
      <c r="B290" s="76"/>
      <c r="C290" s="76" t="s">
        <v>69</v>
      </c>
      <c r="D290" s="76">
        <v>200</v>
      </c>
      <c r="E290" s="76">
        <v>0.23699999999999999</v>
      </c>
      <c r="F290" s="76">
        <v>0.19400000000000001</v>
      </c>
      <c r="G290" s="76"/>
      <c r="H290" s="76"/>
      <c r="I290" s="76"/>
      <c r="J290" s="76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B939-ED2F-4C67-93D7-E140550E930E}">
  <dimension ref="A1:AA1000"/>
  <sheetViews>
    <sheetView zoomScale="93" zoomScaleNormal="93" workbookViewId="0">
      <selection activeCell="B2" sqref="B2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20.69921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Plate4_RawData_11_29!E190</f>
        <v>4.2000000000000003E-2</v>
      </c>
      <c r="C2" s="20">
        <f>AVERAGE(B2,B3)</f>
        <v>4.3499999999999997E-2</v>
      </c>
      <c r="D2" s="20">
        <f>100*(STDEV(B2,B3)/C2)</f>
        <v>4.8765984909417002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-1.4999999999999944E-3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Plate4_RawData_11_29!E191</f>
        <v>4.4999999999999998E-2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1.3499999999999998E-2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Plate4_RawData_11_29!E274</f>
        <v>4.3999999999999997E-2</v>
      </c>
      <c r="C4" s="20">
        <v>4.2000000000000003E-2</v>
      </c>
      <c r="D4" s="20">
        <f>100*(STDEV(B4,B5)/C4)</f>
        <v>1.6835875742536859</v>
      </c>
      <c r="E4" s="19"/>
      <c r="F4" s="20">
        <f>C4-$C$2</f>
        <v>-1.4999999999999944E-3</v>
      </c>
      <c r="G4" s="19"/>
      <c r="H4" s="20">
        <v>0</v>
      </c>
      <c r="I4" s="19"/>
      <c r="J4" s="19"/>
      <c r="K4" s="21">
        <v>50</v>
      </c>
      <c r="L4" s="20">
        <f>F8</f>
        <v>5.1000000000000004E-2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Plate4_RawData_11_29!E275</f>
        <v>4.2999999999999997E-2</v>
      </c>
      <c r="C5" s="18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0.108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Plate4_RawData_11_29!E276</f>
        <v>5.5E-2</v>
      </c>
      <c r="C6" s="20">
        <f>AVERAGE(B6,B7)</f>
        <v>5.6999999999999995E-2</v>
      </c>
      <c r="D6" s="20">
        <f>100*(STDEV(B6,B7)/C6)</f>
        <v>4.9621528504319095</v>
      </c>
      <c r="E6" s="19"/>
      <c r="F6" s="20">
        <f>C6-$C$2</f>
        <v>1.3499999999999998E-2</v>
      </c>
      <c r="G6" s="19"/>
      <c r="H6" s="20">
        <v>12.5</v>
      </c>
      <c r="I6" s="19"/>
      <c r="J6" s="19"/>
      <c r="K6" s="21">
        <v>150</v>
      </c>
      <c r="L6" s="20">
        <f>F12</f>
        <v>0.14050000000000001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Plate4_RawData_11_29!E277</f>
        <v>5.8999999999999997E-2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0.191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Plate4_RawData_11_29!E278</f>
        <v>9.2999999999999999E-2</v>
      </c>
      <c r="C8" s="20">
        <f>AVERAGE(B8,B9)</f>
        <v>9.4500000000000001E-2</v>
      </c>
      <c r="D8" s="20">
        <f>100*(STDEV(B8,B9)/C8)</f>
        <v>2.2447834323382483</v>
      </c>
      <c r="E8" s="19"/>
      <c r="F8" s="20">
        <f>C8-$C$2</f>
        <v>5.1000000000000004E-2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Plate4_RawData_11_29!E279</f>
        <v>9.6000000000000002E-2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Plate4_RawData_11_29!E280</f>
        <v>0.155</v>
      </c>
      <c r="C10" s="20">
        <f>AVERAGE(B10,B11)</f>
        <v>0.1515</v>
      </c>
      <c r="D10" s="20">
        <f>100*(STDEV(B10,B11)/C10)</f>
        <v>3.2671600450863614</v>
      </c>
      <c r="E10" s="19"/>
      <c r="F10" s="20">
        <f>C10-$C$2</f>
        <v>0.108</v>
      </c>
      <c r="G10" s="19"/>
      <c r="H10" s="20">
        <v>100</v>
      </c>
      <c r="I10" s="19"/>
      <c r="J10" s="20"/>
      <c r="K10" s="18" t="s">
        <v>15</v>
      </c>
      <c r="L10" s="20">
        <v>2.3999999999999998E-3</v>
      </c>
      <c r="M10" s="20"/>
    </row>
    <row r="11" spans="1:26" ht="15.75" customHeight="1" x14ac:dyDescent="0.3">
      <c r="A11" s="20" t="s">
        <v>160</v>
      </c>
      <c r="B11" s="20">
        <f>Plate4_RawData_11_29!E281</f>
        <v>0.14799999999999999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Plate4_RawData_11_29!E282</f>
        <v>0.16800000000000001</v>
      </c>
      <c r="C12" s="20">
        <f>AVERAGE(B12,B13)</f>
        <v>0.184</v>
      </c>
      <c r="D12" s="56">
        <f>100*(STDEV(B12,B13)/C12)</f>
        <v>12.297509238026915</v>
      </c>
      <c r="E12" s="19"/>
      <c r="F12" s="20">
        <f>C12-$C$2</f>
        <v>0.14050000000000001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Plate4_RawData_11_29!E283</f>
        <v>0.2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Plate4_RawData_11_29!E284</f>
        <v>0.22700000000000001</v>
      </c>
      <c r="C14" s="20">
        <f>AVERAGE(B14,B15)</f>
        <v>0.23449999999999999</v>
      </c>
      <c r="D14" s="20">
        <f>100*(STDEV(B14,B15)/C14)</f>
        <v>4.5230710950098949</v>
      </c>
      <c r="E14" s="19"/>
      <c r="F14" s="20">
        <f>C14-$C$2</f>
        <v>0.191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Plate4_RawData_11_29!E285</f>
        <v>0.24199999999999999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Plate4_RawData_11_29!E293</f>
        <v>0.161</v>
      </c>
      <c r="C21" s="24">
        <f>AVERAGE(B21,B22)</f>
        <v>0.16450000000000001</v>
      </c>
      <c r="D21" s="25">
        <f>100*(STDEV(B21,B22)/C21)</f>
        <v>3.0089650263257366</v>
      </c>
      <c r="E21" s="24">
        <f>C21-$C$2</f>
        <v>0.12100000000000001</v>
      </c>
      <c r="F21" s="24">
        <f>(E21-$L$10)/$L$9</f>
        <v>118.60000000000001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Plate4_RawData_11_29!E294</f>
        <v>0.16800000000000001</v>
      </c>
      <c r="C22" s="24"/>
      <c r="D22" s="25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8" t="s">
        <v>369</v>
      </c>
      <c r="B23" s="20">
        <f>Plate4_RawData_11_29!E295</f>
        <v>0.14599999999999999</v>
      </c>
      <c r="C23" s="24">
        <f>AVERAGE(B23,B24)</f>
        <v>0.1525</v>
      </c>
      <c r="D23" s="25">
        <f>100*(STDEV(B23,B24)/C23)</f>
        <v>6.0277955117541815</v>
      </c>
      <c r="E23" s="24">
        <f>C23-$C$2</f>
        <v>0.109</v>
      </c>
      <c r="F23" s="24">
        <f>(E23-$L$10)/$L$9</f>
        <v>106.6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Plate4_RawData_11_29!E296</f>
        <v>0.159</v>
      </c>
      <c r="C24" s="24"/>
      <c r="D24" s="25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370</v>
      </c>
      <c r="B25" s="20">
        <f>Plate4_RawData_11_29!E297</f>
        <v>0.109</v>
      </c>
      <c r="C25" s="25">
        <f>AVERAGE(B25,B26)</f>
        <v>9.7000000000000003E-2</v>
      </c>
      <c r="D25" s="32">
        <f>100*(STDEV(B25,B26)/C25)</f>
        <v>17.495425513893963</v>
      </c>
      <c r="E25" s="25">
        <f>C25-$C$2</f>
        <v>5.3500000000000006E-2</v>
      </c>
      <c r="F25" s="25">
        <f>(E25-$L$10)/$L$9</f>
        <v>51.100000000000009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/>
      <c r="B26" s="20">
        <f>Plate4_RawData_11_29!E298</f>
        <v>8.5000000000000006E-2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55" t="s">
        <v>169</v>
      </c>
      <c r="B27" s="20">
        <f>Plate4_RawData_11_29!E299</f>
        <v>0.122</v>
      </c>
      <c r="C27" s="24">
        <f>AVERAGE(B27,B28)</f>
        <v>0.1205</v>
      </c>
      <c r="D27" s="25">
        <f>100*(STDEV(B27,B28)/C27)</f>
        <v>1.760431820381448</v>
      </c>
      <c r="E27" s="24">
        <f>C27-$C$2</f>
        <v>7.6999999999999999E-2</v>
      </c>
      <c r="F27" s="24">
        <f>(E27-$L$10)/$L$9</f>
        <v>74.599999999999994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55"/>
      <c r="B28" s="20">
        <f>Plate4_RawData_11_29!E300</f>
        <v>0.11899999999999999</v>
      </c>
      <c r="C28" s="24"/>
      <c r="D28" s="25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8" t="s">
        <v>371</v>
      </c>
      <c r="B29" s="20">
        <f>Plate4_RawData_11_29!E301</f>
        <v>0.09</v>
      </c>
      <c r="C29" s="25">
        <f>AVERAGE(B29,B30)</f>
        <v>9.2999999999999999E-2</v>
      </c>
      <c r="D29" s="25">
        <f>100*(STDEV(B29,B30)/C29)</f>
        <v>4.5619792334616012</v>
      </c>
      <c r="E29" s="24">
        <f>C29-$C$2</f>
        <v>4.9500000000000002E-2</v>
      </c>
      <c r="F29" s="24">
        <f>(E29-$L$10)/$L$9</f>
        <v>47.1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8"/>
      <c r="B30" s="20">
        <f>Plate4_RawData_11_29!E302</f>
        <v>9.6000000000000002E-2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8" t="s">
        <v>372</v>
      </c>
      <c r="B31" s="20">
        <f>Plate4_RawData_11_29!E303</f>
        <v>0.19800000000000001</v>
      </c>
      <c r="C31" s="24">
        <f>AVERAGE(B31,B32)</f>
        <v>0.19700000000000001</v>
      </c>
      <c r="D31" s="25">
        <f>100*(STDEV(B31,B32)/C31)</f>
        <v>0.71787490475791693</v>
      </c>
      <c r="E31" s="24">
        <f>C31-$C$2</f>
        <v>0.15350000000000003</v>
      </c>
      <c r="F31" s="24">
        <f>(E31-$L$10)/$L$9</f>
        <v>151.10000000000002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Plate4_RawData_11_29!E304</f>
        <v>0.19600000000000001</v>
      </c>
      <c r="C32" s="24"/>
      <c r="D32" s="25"/>
      <c r="E32" s="24"/>
      <c r="F32" s="24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8" t="s">
        <v>172</v>
      </c>
      <c r="B33" s="20">
        <f>Plate4_RawData_11_29!E305</f>
        <v>8.4000000000000005E-2</v>
      </c>
      <c r="C33" s="24">
        <f>AVERAGE(B33,B34)</f>
        <v>8.8999999999999996E-2</v>
      </c>
      <c r="D33" s="25">
        <f>100*(STDEV(B33,B34)/C33)</f>
        <v>7.945020013331991</v>
      </c>
      <c r="E33" s="24">
        <f>C33-$C$2</f>
        <v>4.5499999999999999E-2</v>
      </c>
      <c r="F33" s="24">
        <f>(E33-$L$10)/$L$9</f>
        <v>43.1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8"/>
      <c r="B34" s="20">
        <f>Plate4_RawData_11_29!E306</f>
        <v>9.4E-2</v>
      </c>
      <c r="C34" s="24"/>
      <c r="D34" s="25"/>
      <c r="E34" s="24"/>
      <c r="F34" s="24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55" t="s">
        <v>169</v>
      </c>
      <c r="B35" s="20">
        <f>Plate4_RawData_11_29!E307</f>
        <v>0.11700000000000001</v>
      </c>
      <c r="C35" s="25">
        <f>AVERAGE(B35,B36)</f>
        <v>0.1195</v>
      </c>
      <c r="D35" s="25">
        <f>100*(STDEV(B35,B36)/C35)</f>
        <v>2.9586057790232063</v>
      </c>
      <c r="E35" s="25">
        <f>C35-$C$2</f>
        <v>7.5999999999999998E-2</v>
      </c>
      <c r="F35" s="25">
        <f>(E35-$L$10)/$L$9</f>
        <v>73.599999999999994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55"/>
      <c r="B36" s="20">
        <f>Plate4_RawData_11_29!E308</f>
        <v>0.122</v>
      </c>
      <c r="C36" s="25"/>
      <c r="D36" s="25"/>
      <c r="E36" s="25"/>
      <c r="F36" s="2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77" t="s">
        <v>332</v>
      </c>
      <c r="B37" s="20">
        <f>Plate4_RawData_11_29!E309</f>
        <v>0.129</v>
      </c>
      <c r="C37" s="24">
        <f>AVERAGE(B37,B38)</f>
        <v>0.13550000000000001</v>
      </c>
      <c r="D37" s="25">
        <f>100*(STDEV(B37,B38)/C37)</f>
        <v>6.7840502992067204</v>
      </c>
      <c r="E37" s="24">
        <f>C37-$C$2</f>
        <v>9.2000000000000012E-2</v>
      </c>
      <c r="F37" s="24">
        <f>(E37-$L$10)/$L$9</f>
        <v>89.600000000000009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77"/>
      <c r="B38" s="20">
        <f>Plate4_RawData_11_29!E310</f>
        <v>0.14199999999999999</v>
      </c>
      <c r="C38" s="24"/>
      <c r="D38" s="25"/>
      <c r="E38" s="24"/>
      <c r="F38" s="2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8" t="s">
        <v>373</v>
      </c>
      <c r="B39" s="20">
        <f>Plate4_RawData_11_29!E311</f>
        <v>0.115</v>
      </c>
      <c r="C39" s="25">
        <f>AVERAGE(B39,B40)</f>
        <v>0.112</v>
      </c>
      <c r="D39" s="25">
        <f>100*(STDEV(B39,B40)/C39)</f>
        <v>3.7880720420707941</v>
      </c>
      <c r="E39" s="24">
        <f>C39-$C$2</f>
        <v>6.8500000000000005E-2</v>
      </c>
      <c r="F39" s="24">
        <f>(E39-$L$10)/$L$9</f>
        <v>66.100000000000009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/>
      <c r="B40" s="20">
        <f>Plate4_RawData_11_29!E312</f>
        <v>0.109</v>
      </c>
      <c r="C40" s="25"/>
      <c r="D40" s="25"/>
      <c r="E40" s="25"/>
      <c r="F40" s="2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0" t="s">
        <v>374</v>
      </c>
      <c r="B41" s="20">
        <f>Plate4_RawData_11_29!E313</f>
        <v>0.1</v>
      </c>
      <c r="C41" s="24">
        <f>AVERAGE(B41,B42)</f>
        <v>0.10250000000000001</v>
      </c>
      <c r="D41" s="25">
        <f>100*(STDEV(B41,B42)/C41)</f>
        <v>3.4493013716416887</v>
      </c>
      <c r="E41" s="24">
        <f>C41-$C$2</f>
        <v>5.9000000000000011E-2</v>
      </c>
      <c r="F41" s="24">
        <f>(E41-$L$10)/$L$9</f>
        <v>56.600000000000009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/>
      <c r="B42" s="20">
        <f>Plate4_RawData_11_29!E314</f>
        <v>0.105</v>
      </c>
      <c r="C42" s="24"/>
      <c r="D42" s="25"/>
      <c r="E42" s="24"/>
      <c r="F42" s="24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375</v>
      </c>
      <c r="B43" s="20">
        <f>Plate4_RawData_11_29!E315</f>
        <v>9.0999999999999998E-2</v>
      </c>
      <c r="C43" s="24">
        <f>AVERAGE(B43,B44)</f>
        <v>9.35E-2</v>
      </c>
      <c r="D43" s="25">
        <f>100*(STDEV(B43,B44)/C43)</f>
        <v>3.7813196854895619</v>
      </c>
      <c r="E43" s="24">
        <f>C43-$C$2</f>
        <v>0.05</v>
      </c>
      <c r="F43" s="24">
        <f>(E43-$L$10)/$L$9</f>
        <v>47.6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Plate4_RawData_11_29!E316</f>
        <v>9.6000000000000002E-2</v>
      </c>
      <c r="C44" s="24"/>
      <c r="D44" s="25"/>
      <c r="E44" s="24"/>
      <c r="F44" s="24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38" t="s">
        <v>376</v>
      </c>
      <c r="B45" s="20">
        <f>Plate4_RawData_11_29!E317</f>
        <v>0.14099999999999999</v>
      </c>
      <c r="C45" s="25">
        <f>AVERAGE(B45,B46)</f>
        <v>0.1305</v>
      </c>
      <c r="D45" s="32">
        <f>100*(STDEV(B45,B46)/C45)</f>
        <v>11.378729812197312</v>
      </c>
      <c r="E45" s="25">
        <f>C45-$C$2</f>
        <v>8.7000000000000008E-2</v>
      </c>
      <c r="F45" s="25">
        <f>(E45-$L$10)/$L$9</f>
        <v>84.600000000000009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/>
      <c r="B46" s="20">
        <f>Plate4_RawData_11_29!E318</f>
        <v>0.12</v>
      </c>
      <c r="C46" s="25"/>
      <c r="D46" s="25"/>
      <c r="E46" s="25"/>
      <c r="F46" s="25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8" t="s">
        <v>377</v>
      </c>
      <c r="B47" s="20">
        <f>Plate4_RawData_11_29!E319</f>
        <v>0.14699999999999999</v>
      </c>
      <c r="C47" s="24">
        <f>AVERAGE(B47,B48)</f>
        <v>0.159</v>
      </c>
      <c r="D47" s="32">
        <f>100*(STDEV(B47,B48)/C47)</f>
        <v>10.673309904702615</v>
      </c>
      <c r="E47" s="24">
        <f>C47-$C$2</f>
        <v>0.11550000000000001</v>
      </c>
      <c r="F47" s="24">
        <f>(E47-$L$10)/$L$9</f>
        <v>113.10000000000001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/>
      <c r="B48" s="20">
        <f>Plate4_RawData_11_29!E320</f>
        <v>0.17100000000000001</v>
      </c>
      <c r="C48" s="24"/>
      <c r="D48" s="25"/>
      <c r="E48" s="24"/>
      <c r="F48" s="2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30" t="s">
        <v>378</v>
      </c>
      <c r="B49" s="20">
        <f>Plate4_RawData_11_29!E321</f>
        <v>8.5999999999999993E-2</v>
      </c>
      <c r="C49" s="25">
        <f>AVERAGE(B49,B50)</f>
        <v>8.8999999999999996E-2</v>
      </c>
      <c r="D49" s="25">
        <f>100*(STDEV(B49,B50)/C49)</f>
        <v>4.7670120079992016</v>
      </c>
      <c r="E49" s="24">
        <f>C49-$C$2</f>
        <v>4.5499999999999999E-2</v>
      </c>
      <c r="F49" s="24">
        <f>(E49-$L$10)/$L$9</f>
        <v>43.1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30"/>
      <c r="B50" s="20">
        <f>Plate4_RawData_11_29!E322</f>
        <v>9.1999999999999998E-2</v>
      </c>
      <c r="C50" s="25"/>
      <c r="D50" s="25"/>
      <c r="E50" s="25"/>
      <c r="F50" s="2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38" t="s">
        <v>379</v>
      </c>
      <c r="B51" s="20">
        <f>Plate4_RawData_11_29!E323</f>
        <v>0.158</v>
      </c>
      <c r="C51" s="24">
        <f>AVERAGE(B51,B52)</f>
        <v>0.16450000000000001</v>
      </c>
      <c r="D51" s="25">
        <f>100*(STDEV(B51,B52)/C51)</f>
        <v>5.5880779060335115</v>
      </c>
      <c r="E51" s="24">
        <f>C51-$C$2</f>
        <v>0.12100000000000001</v>
      </c>
      <c r="F51" s="24">
        <f>(E51-$L$10)/$L$9</f>
        <v>118.60000000000001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38"/>
      <c r="B52" s="20">
        <f>Plate4_RawData_11_29!E324</f>
        <v>0.17100000000000001</v>
      </c>
      <c r="C52" s="24"/>
      <c r="D52" s="25"/>
      <c r="E52" s="24"/>
      <c r="F52" s="2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30" t="s">
        <v>318</v>
      </c>
      <c r="B53" s="20">
        <f>Plate4_RawData_11_29!E325</f>
        <v>8.7999999999999995E-2</v>
      </c>
      <c r="C53" s="24">
        <f>AVERAGE(B53,B54)</f>
        <v>0.09</v>
      </c>
      <c r="D53" s="25">
        <f>100*(STDEV(B53,B54)/C53)</f>
        <v>3.1426968052735473</v>
      </c>
      <c r="E53" s="24">
        <f>C53-$C$2</f>
        <v>4.65E-2</v>
      </c>
      <c r="F53" s="24">
        <f>(E53-$L$10)/$L$9</f>
        <v>44.1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30"/>
      <c r="B54" s="20">
        <f>Plate4_RawData_11_29!E326</f>
        <v>9.1999999999999998E-2</v>
      </c>
      <c r="C54" s="24"/>
      <c r="D54" s="25"/>
      <c r="E54" s="24"/>
      <c r="F54" s="2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30" t="s">
        <v>380</v>
      </c>
      <c r="B55" s="20">
        <f>Plate4_RawData_11_29!E327</f>
        <v>0.106</v>
      </c>
      <c r="C55" s="25">
        <f>AVERAGE(B55,B56)</f>
        <v>0.11</v>
      </c>
      <c r="D55" s="25">
        <f>100*(STDEV(B55,B56)/C55)</f>
        <v>5.142594772265805</v>
      </c>
      <c r="E55" s="25">
        <f>C55-$C$2</f>
        <v>6.6500000000000004E-2</v>
      </c>
      <c r="F55" s="25">
        <f>(E55-$L$10)/$L$9</f>
        <v>64.100000000000009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30"/>
      <c r="B56" s="20">
        <f>Plate4_RawData_11_29!E328</f>
        <v>0.114</v>
      </c>
      <c r="C56" s="25"/>
      <c r="D56" s="25"/>
      <c r="E56" s="25"/>
      <c r="F56" s="25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38" t="s">
        <v>351</v>
      </c>
      <c r="B57" s="20">
        <f>Plate4_RawData_11_29!E329</f>
        <v>9.9000000000000005E-2</v>
      </c>
      <c r="C57" s="24">
        <f>AVERAGE(B57,B58)</f>
        <v>0.10050000000000001</v>
      </c>
      <c r="D57" s="25">
        <f>100*(STDEV(B57,B58)/C57)</f>
        <v>2.1107665110046114</v>
      </c>
      <c r="E57" s="24">
        <f>C57-$C$2</f>
        <v>5.7000000000000009E-2</v>
      </c>
      <c r="F57" s="24">
        <f>(E57-$L$10)/$L$9</f>
        <v>54.600000000000009</v>
      </c>
      <c r="G57" s="90" t="s">
        <v>360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38"/>
      <c r="B58" s="20">
        <f>Plate4_RawData_11_29!E330</f>
        <v>0.10199999999999999</v>
      </c>
      <c r="C58" s="24"/>
      <c r="D58" s="25"/>
      <c r="E58" s="24"/>
      <c r="F58" s="24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38" t="s">
        <v>381</v>
      </c>
      <c r="B59" s="20">
        <f>Plate4_RawData_11_29!E331</f>
        <v>0.14399999999999999</v>
      </c>
      <c r="C59" s="25">
        <f>AVERAGE(B59,B60)</f>
        <v>0.1825</v>
      </c>
      <c r="D59" s="32">
        <f>100*(STDEV(B59,B60)/C59)</f>
        <v>29.834094329514649</v>
      </c>
      <c r="E59" s="24">
        <f>C59-$C$2</f>
        <v>0.13900000000000001</v>
      </c>
      <c r="F59" s="24">
        <f>(E59-$L$10)/$L$9</f>
        <v>136.6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38"/>
      <c r="B60" s="20">
        <f>Plate4_RawData_11_29!E332</f>
        <v>0.221</v>
      </c>
      <c r="C60" s="25"/>
      <c r="D60" s="25"/>
      <c r="E60" s="25"/>
      <c r="F60" s="25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38" t="s">
        <v>285</v>
      </c>
      <c r="B61" s="20">
        <f>Plate4_RawData_11_29!E333</f>
        <v>0.17499999999999999</v>
      </c>
      <c r="C61" s="24">
        <f>AVERAGE(B61,B62)</f>
        <v>0.17549999999999999</v>
      </c>
      <c r="D61" s="25">
        <f>100*(STDEV(B61,B62)/C61)</f>
        <v>0.40290984682994202</v>
      </c>
      <c r="E61" s="24">
        <f>C61-$C$2</f>
        <v>0.13200000000000001</v>
      </c>
      <c r="F61" s="24">
        <f>(E61-$L$10)/$L$9</f>
        <v>129.6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38"/>
      <c r="B62" s="20">
        <f>Plate4_RawData_11_29!E334</f>
        <v>0.17599999999999999</v>
      </c>
      <c r="C62" s="24"/>
      <c r="D62" s="25"/>
      <c r="E62" s="24"/>
      <c r="F62" s="2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38" t="s">
        <v>353</v>
      </c>
      <c r="B63" s="20">
        <f>Plate4_RawData_11_29!E335</f>
        <v>0.152</v>
      </c>
      <c r="C63" s="24">
        <f>AVERAGE(B63,B64)</f>
        <v>0.14699999999999999</v>
      </c>
      <c r="D63" s="25">
        <f>100*(STDEV(B63,B64)/C63)</f>
        <v>4.810250212153389</v>
      </c>
      <c r="E63" s="24">
        <f>C63-$C$2</f>
        <v>0.10349999999999999</v>
      </c>
      <c r="F63" s="24">
        <f>(E63-$L$10)/$L$9</f>
        <v>101.1</v>
      </c>
      <c r="G63" s="90" t="s">
        <v>360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38"/>
      <c r="B64" s="20">
        <f>Plate4_RawData_11_29!E336</f>
        <v>0.14199999999999999</v>
      </c>
      <c r="C64" s="24"/>
      <c r="D64" s="25"/>
      <c r="E64" s="24"/>
      <c r="F64" s="2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38" t="s">
        <v>333</v>
      </c>
      <c r="B65" s="20">
        <f>Plate4_RawData_11_29!E337</f>
        <v>0.16200000000000001</v>
      </c>
      <c r="C65" s="25">
        <f>AVERAGE(B65,B66)</f>
        <v>0.16450000000000001</v>
      </c>
      <c r="D65" s="25">
        <f>100*(STDEV(B65,B66)/C65)</f>
        <v>2.1492607330898119</v>
      </c>
      <c r="E65" s="25">
        <f>C65-$C$2</f>
        <v>0.12100000000000001</v>
      </c>
      <c r="F65" s="25">
        <f>(E65-$L$10)/$L$9</f>
        <v>118.60000000000001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38"/>
      <c r="B66" s="20">
        <f>Plate4_RawData_11_29!E338</f>
        <v>0.16700000000000001</v>
      </c>
      <c r="C66" s="25"/>
      <c r="D66" s="25"/>
      <c r="E66" s="25"/>
      <c r="F66" s="2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55" t="s">
        <v>169</v>
      </c>
      <c r="B67" s="20">
        <f>Plate4_RawData_11_29!E339</f>
        <v>0.11799999999999999</v>
      </c>
      <c r="C67" s="24">
        <f>AVERAGE(B67,B68)</f>
        <v>0.11899999999999999</v>
      </c>
      <c r="D67" s="25">
        <f>100*(STDEV(B67,B68)/C67)</f>
        <v>1.1884147582967197</v>
      </c>
      <c r="E67" s="24">
        <f>C67-$C$2</f>
        <v>7.5499999999999998E-2</v>
      </c>
      <c r="F67" s="24">
        <f>(E67-$L$10)/$L$9</f>
        <v>73.099999999999994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30"/>
      <c r="B68" s="20">
        <f>Plate4_RawData_11_29!E340</f>
        <v>0.12</v>
      </c>
      <c r="C68" s="24"/>
      <c r="D68" s="25"/>
      <c r="E68" s="24"/>
      <c r="F68" s="24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30" t="s">
        <v>324</v>
      </c>
      <c r="B69" s="20">
        <f>Plate4_RawData_11_29!E341</f>
        <v>6.2E-2</v>
      </c>
      <c r="C69" s="25">
        <f>AVERAGE(B69,B70)</f>
        <v>6.0999999999999999E-2</v>
      </c>
      <c r="D69" s="25">
        <f>100*(STDEV(B69,B70)/C69)</f>
        <v>2.3183828891362235</v>
      </c>
      <c r="E69" s="24">
        <f>C69-$C$2</f>
        <v>1.7500000000000002E-2</v>
      </c>
      <c r="F69" s="24">
        <f>(E69-$L$10)/$L$9</f>
        <v>15.100000000000001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30"/>
      <c r="B70" s="20">
        <f>Plate4_RawData_11_29!E342</f>
        <v>0.06</v>
      </c>
      <c r="C70" s="25"/>
      <c r="D70" s="25"/>
      <c r="E70" s="25"/>
      <c r="F70" s="2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77" t="s">
        <v>334</v>
      </c>
      <c r="B71" s="20">
        <f>Plate4_RawData_11_29!E343</f>
        <v>9.1999999999999998E-2</v>
      </c>
      <c r="C71" s="24">
        <f>AVERAGE(B71,B72)</f>
        <v>9.0999999999999998E-2</v>
      </c>
      <c r="D71" s="25">
        <f>100*(STDEV(B71,B72)/C71)</f>
        <v>1.5540808377726334</v>
      </c>
      <c r="E71" s="24">
        <f>C71-$C$2</f>
        <v>4.7500000000000001E-2</v>
      </c>
      <c r="F71" s="24">
        <f>(E71-$L$10)/$L$9</f>
        <v>45.1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77"/>
      <c r="B72" s="20">
        <f>Plate4_RawData_11_29!E344</f>
        <v>0.09</v>
      </c>
      <c r="C72" s="24"/>
      <c r="D72" s="25"/>
      <c r="E72" s="24"/>
      <c r="F72" s="24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38" t="s">
        <v>289</v>
      </c>
      <c r="B73" s="20">
        <f>Plate4_RawData_11_29!E345</f>
        <v>8.1000000000000003E-2</v>
      </c>
      <c r="C73" s="24">
        <f>AVERAGE(B73,B74)</f>
        <v>7.1500000000000008E-2</v>
      </c>
      <c r="D73" s="32">
        <f>100*(STDEV(B73,B74)/C73)</f>
        <v>18.790250129432554</v>
      </c>
      <c r="E73" s="24">
        <f>C73-$C$2</f>
        <v>2.8000000000000011E-2</v>
      </c>
      <c r="F73" s="24">
        <f>(E73-$L$10)/$L$9</f>
        <v>25.600000000000012</v>
      </c>
      <c r="G73" s="90" t="s">
        <v>389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38"/>
      <c r="B74" s="20">
        <f>Plate4_RawData_11_29!E346</f>
        <v>6.2E-2</v>
      </c>
      <c r="C74" s="24"/>
      <c r="D74" s="25"/>
      <c r="E74" s="24"/>
      <c r="F74" s="24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38" t="s">
        <v>382</v>
      </c>
      <c r="B75" s="20">
        <f>Plate4_RawData_11_29!E347</f>
        <v>9.0999999999999998E-2</v>
      </c>
      <c r="C75" s="24">
        <f>AVERAGE(B75,B76)</f>
        <v>9.4E-2</v>
      </c>
      <c r="D75" s="25">
        <f>100*(STDEV(B75,B76)/C75)</f>
        <v>4.5134475394886051</v>
      </c>
      <c r="E75" s="24">
        <f>C75-$C$2</f>
        <v>5.0500000000000003E-2</v>
      </c>
      <c r="F75" s="24">
        <f>(E75-$L$10)/$L$9</f>
        <v>48.1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38"/>
      <c r="B76" s="20">
        <f>Plate4_RawData_11_29!E348</f>
        <v>9.7000000000000003E-2</v>
      </c>
      <c r="C76" s="24"/>
      <c r="D76" s="25"/>
      <c r="E76" s="24"/>
      <c r="F76" s="24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30" t="s">
        <v>383</v>
      </c>
      <c r="B77" s="20">
        <f>Plate4_RawData_11_29!E349</f>
        <v>0.26500000000000001</v>
      </c>
      <c r="C77" s="25">
        <f>AVERAGE(B77,B78)</f>
        <v>0.26850000000000002</v>
      </c>
      <c r="D77" s="25">
        <f>100*(STDEV(B77,B78)/C77)</f>
        <v>1.8434813662219132</v>
      </c>
      <c r="E77" s="25">
        <f>C77-$C$2</f>
        <v>0.22500000000000003</v>
      </c>
      <c r="F77" s="25">
        <f>(E77-$L$10)/$L$9</f>
        <v>222.60000000000002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30"/>
      <c r="B78" s="20">
        <f>Plate4_RawData_11_29!E350</f>
        <v>0.27200000000000002</v>
      </c>
      <c r="C78" s="25"/>
      <c r="D78" s="25"/>
      <c r="E78" s="25"/>
      <c r="F78" s="25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30" t="s">
        <v>352</v>
      </c>
      <c r="B79" s="20">
        <f>Plate4_RawData_11_29!E351</f>
        <v>4.5999999999999999E-2</v>
      </c>
      <c r="C79" s="24">
        <f>AVERAGE(B79,B80)</f>
        <v>4.4499999999999998E-2</v>
      </c>
      <c r="D79" s="25">
        <f>100*(STDEV(B79,B80)/C79)</f>
        <v>4.7670120079992016</v>
      </c>
      <c r="E79" s="24">
        <f>C79-$C$2</f>
        <v>1.0000000000000009E-3</v>
      </c>
      <c r="F79" s="24">
        <f>(E79-$L$10)/$L$9</f>
        <v>-1.3999999999999988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30"/>
      <c r="B80" s="20">
        <f>Plate4_RawData_11_29!E352</f>
        <v>4.2999999999999997E-2</v>
      </c>
      <c r="C80" s="24"/>
      <c r="D80" s="25"/>
      <c r="E80" s="24"/>
      <c r="F80" s="24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38" t="s">
        <v>293</v>
      </c>
      <c r="B81" s="20">
        <f>Plate4_RawData_11_29!E353</f>
        <v>0.19600000000000001</v>
      </c>
      <c r="C81" s="25">
        <f>AVERAGE(B81,B82)</f>
        <v>0.188</v>
      </c>
      <c r="D81" s="25">
        <f>100*(STDEV(B81,B82)/C81)</f>
        <v>6.0179300526514741</v>
      </c>
      <c r="E81" s="24">
        <f>C81-$C$2</f>
        <v>0.14450000000000002</v>
      </c>
      <c r="F81" s="24">
        <f>(E81-$L$10)/$L$9</f>
        <v>142.1</v>
      </c>
      <c r="G81" s="90" t="s">
        <v>360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38"/>
      <c r="B82" s="20">
        <f>Plate4_RawData_11_29!E354</f>
        <v>0.18</v>
      </c>
      <c r="C82" s="25"/>
      <c r="D82" s="25"/>
      <c r="E82" s="25"/>
      <c r="F82" s="25"/>
      <c r="G82" s="9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38" t="s">
        <v>384</v>
      </c>
      <c r="B83" s="20">
        <f>Plate4_RawData_11_29!E355</f>
        <v>0.154</v>
      </c>
      <c r="C83" s="24">
        <f>AVERAGE(B83,B84)</f>
        <v>0.155</v>
      </c>
      <c r="D83" s="25">
        <f>100*(STDEV(B83,B84)/C83)</f>
        <v>0.91239584669232032</v>
      </c>
      <c r="E83" s="24">
        <f>C83-$C$2</f>
        <v>0.1115</v>
      </c>
      <c r="F83" s="24">
        <f>(E83-$L$10)/$L$9</f>
        <v>109.1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38"/>
      <c r="B84" s="20">
        <f>Plate4_RawData_11_29!E356</f>
        <v>0.156</v>
      </c>
      <c r="C84" s="24"/>
      <c r="D84" s="25"/>
      <c r="E84" s="24"/>
      <c r="F84" s="24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30" t="s">
        <v>352</v>
      </c>
      <c r="B85" s="20">
        <f>Plate4_RawData_11_29!E357</f>
        <v>4.4999999999999998E-2</v>
      </c>
      <c r="C85" s="24">
        <f>AVERAGE(B85,B86)</f>
        <v>4.5499999999999999E-2</v>
      </c>
      <c r="D85" s="25">
        <f>100*(STDEV(B85,B86)/C85)</f>
        <v>1.5540808377726334</v>
      </c>
      <c r="E85" s="24">
        <f>C85-$C$2</f>
        <v>2.0000000000000018E-3</v>
      </c>
      <c r="F85" s="24">
        <f>(E85-$L$10)/$L$9</f>
        <v>-0.39999999999999802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30"/>
      <c r="B86" s="20">
        <f>Plate4_RawData_11_29!E358</f>
        <v>4.5999999999999999E-2</v>
      </c>
      <c r="C86" s="24"/>
      <c r="D86" s="25"/>
      <c r="E86" s="24"/>
      <c r="F86" s="24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30" t="s">
        <v>385</v>
      </c>
      <c r="B87" s="20">
        <f>Plate4_RawData_11_29!E359</f>
        <v>0.13800000000000001</v>
      </c>
      <c r="C87" s="25">
        <f>AVERAGE(B87,B88)</f>
        <v>0.13600000000000001</v>
      </c>
      <c r="D87" s="25">
        <f>100*(STDEV(B87,B88)/C87)</f>
        <v>2.0797258270192591</v>
      </c>
      <c r="E87" s="25">
        <f>C87-$C$2</f>
        <v>9.2500000000000013E-2</v>
      </c>
      <c r="F87" s="25">
        <f>(E87-$L$10)/$L$9</f>
        <v>90.100000000000009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30"/>
      <c r="B88" s="20">
        <f>Plate4_RawData_11_29!E360</f>
        <v>0.13400000000000001</v>
      </c>
      <c r="C88" s="25"/>
      <c r="D88" s="25"/>
      <c r="E88" s="25"/>
      <c r="F88" s="25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38" t="s">
        <v>362</v>
      </c>
      <c r="B89" s="20">
        <f>Plate4_RawData_11_29!E361</f>
        <v>0.13400000000000001</v>
      </c>
      <c r="C89" s="24">
        <f>AVERAGE(B89,B90)</f>
        <v>0.13600000000000001</v>
      </c>
      <c r="D89" s="25">
        <f>100*(STDEV(B89,B90)/C89)</f>
        <v>2.0797258270192591</v>
      </c>
      <c r="E89" s="24">
        <f>C89-$C$2</f>
        <v>9.2500000000000013E-2</v>
      </c>
      <c r="F89" s="24">
        <f>(E89-$L$10)/$L$9</f>
        <v>90.100000000000009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38"/>
      <c r="B90" s="20">
        <f>Plate4_RawData_11_29!E362</f>
        <v>0.13800000000000001</v>
      </c>
      <c r="C90" s="24"/>
      <c r="D90" s="25"/>
      <c r="E90" s="24"/>
      <c r="F90" s="24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78" t="s">
        <v>373</v>
      </c>
      <c r="B91" s="20">
        <f>Plate4_RawData_11_29!E363</f>
        <v>8.5000000000000006E-2</v>
      </c>
      <c r="C91" s="25">
        <f>AVERAGE(B91,B92)</f>
        <v>8.8999999999999996E-2</v>
      </c>
      <c r="D91" s="25">
        <f>100*(STDEV(B91,B92)/C91)</f>
        <v>6.3560160106655914</v>
      </c>
      <c r="E91" s="24">
        <f>C91-$C$2</f>
        <v>4.5499999999999999E-2</v>
      </c>
      <c r="F91" s="24">
        <f>(E91-$L$10)/$L$9</f>
        <v>43.1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78"/>
      <c r="B92" s="20">
        <f>Plate4_RawData_11_29!E364</f>
        <v>9.2999999999999999E-2</v>
      </c>
      <c r="C92" s="25"/>
      <c r="D92" s="25"/>
      <c r="E92" s="25"/>
      <c r="F92" s="25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77" t="s">
        <v>329</v>
      </c>
      <c r="B93" s="20">
        <f>Plate4_RawData_11_29!E365</f>
        <v>0.114</v>
      </c>
      <c r="C93" s="24">
        <f>AVERAGE(B93,B94)</f>
        <v>0.122</v>
      </c>
      <c r="D93" s="25">
        <f>100*(STDEV(B93,B94)/C93)</f>
        <v>9.2735315565448868</v>
      </c>
      <c r="E93" s="24">
        <f>C93-$C$2</f>
        <v>7.85E-2</v>
      </c>
      <c r="F93" s="24">
        <f>(E93-$L$10)/$L$9</f>
        <v>76.099999999999994</v>
      </c>
      <c r="G93" s="90" t="s">
        <v>360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77"/>
      <c r="B94" s="20">
        <f>Plate4_RawData_11_29!E366</f>
        <v>0.13</v>
      </c>
      <c r="C94" s="24"/>
      <c r="D94" s="25"/>
      <c r="E94" s="24"/>
      <c r="F94" s="24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55" t="s">
        <v>386</v>
      </c>
      <c r="B95" s="20">
        <f>Plate4_RawData_11_29!E367</f>
        <v>4.3999999999999997E-2</v>
      </c>
      <c r="C95" s="24">
        <f>AVERAGE(B95,B96)</f>
        <v>4.3499999999999997E-2</v>
      </c>
      <c r="D95" s="25">
        <f>100*(STDEV(B95,B96)/C95)</f>
        <v>1.6255328303139041</v>
      </c>
      <c r="E95" s="24">
        <f>C95-$C$2</f>
        <v>0</v>
      </c>
      <c r="F95" s="24">
        <f>(E95-$L$10)/$L$9</f>
        <v>-2.4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55"/>
      <c r="B96" s="20">
        <f>Plate4_RawData_11_29!E368</f>
        <v>4.2999999999999997E-2</v>
      </c>
      <c r="C96" s="24"/>
      <c r="D96" s="25"/>
      <c r="E96" s="24"/>
      <c r="F96" s="24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38" t="s">
        <v>387</v>
      </c>
      <c r="B97" s="20">
        <f>Plate4_RawData_11_29!E369</f>
        <v>0.06</v>
      </c>
      <c r="C97" s="25">
        <f>AVERAGE(B97,B98)</f>
        <v>6.4500000000000002E-2</v>
      </c>
      <c r="D97" s="25">
        <f>100*(STDEV(B97,B98)/C97)</f>
        <v>9.8666062491146249</v>
      </c>
      <c r="E97" s="25">
        <f>C97-$C$2</f>
        <v>2.1000000000000005E-2</v>
      </c>
      <c r="F97" s="25">
        <f>(E97-$L$10)/$L$9</f>
        <v>18.600000000000005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38"/>
      <c r="B98" s="20">
        <f>Plate4_RawData_11_29!E370</f>
        <v>6.9000000000000006E-2</v>
      </c>
      <c r="C98" s="25"/>
      <c r="D98" s="25"/>
      <c r="E98" s="25"/>
      <c r="F98" s="25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30" t="s">
        <v>336</v>
      </c>
      <c r="B99" s="20">
        <f>Plate4_RawData_11_29!E371</f>
        <v>7.2999999999999995E-2</v>
      </c>
      <c r="C99" s="24">
        <f>AVERAGE(B99,B100)</f>
        <v>6.8500000000000005E-2</v>
      </c>
      <c r="D99" s="25">
        <f>100*(STDEV(B99,B100)/C99)</f>
        <v>9.29045405938529</v>
      </c>
      <c r="E99" s="24">
        <f>C99-$C$2</f>
        <v>2.5000000000000008E-2</v>
      </c>
      <c r="F99" s="24">
        <f>(E99-$L$10)/$L$9</f>
        <v>22.600000000000009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30"/>
      <c r="B100" s="20">
        <f>Plate4_RawData_11_29!E372</f>
        <v>6.4000000000000001E-2</v>
      </c>
      <c r="C100" s="24"/>
      <c r="D100" s="25"/>
      <c r="E100" s="24"/>
      <c r="F100" s="2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55" t="s">
        <v>388</v>
      </c>
      <c r="B101" s="20">
        <f>Plate4_RawData_11_29!E373</f>
        <v>4.7E-2</v>
      </c>
      <c r="C101" s="25">
        <f>AVERAGE(B101,B102)</f>
        <v>5.0500000000000003E-2</v>
      </c>
      <c r="D101" s="25">
        <f>100*(STDEV(B101,B102)/C101)</f>
        <v>9.8014801352590712</v>
      </c>
      <c r="E101" s="24">
        <f>C101-$C$2</f>
        <v>7.0000000000000062E-3</v>
      </c>
      <c r="F101" s="24">
        <f>(E101-$L$10)/$L$9</f>
        <v>4.6000000000000068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55"/>
      <c r="B102" s="20">
        <f>Plate4_RawData_11_29!E374</f>
        <v>5.3999999999999999E-2</v>
      </c>
      <c r="C102" s="25"/>
      <c r="D102" s="25"/>
      <c r="E102" s="25"/>
      <c r="F102" s="25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173C-F119-4DEA-84F1-FAE7191830B5}">
  <dimension ref="A2:O386"/>
  <sheetViews>
    <sheetView topLeftCell="A360" workbookViewId="0">
      <selection activeCell="H375" sqref="H375"/>
    </sheetView>
  </sheetViews>
  <sheetFormatPr defaultRowHeight="13.2" x14ac:dyDescent="0.25"/>
  <cols>
    <col min="1" max="1" width="18.59765625" style="1" customWidth="1"/>
    <col min="2" max="2" width="11.3984375" style="1" customWidth="1"/>
    <col min="3" max="16384" width="8.796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368</v>
      </c>
    </row>
    <row r="5" spans="1:2" x14ac:dyDescent="0.25">
      <c r="A5" s="1" t="s">
        <v>19</v>
      </c>
      <c r="B5" s="1" t="s">
        <v>189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45625</v>
      </c>
    </row>
    <row r="8" spans="1:2" x14ac:dyDescent="0.25">
      <c r="A8" s="1" t="s">
        <v>22</v>
      </c>
      <c r="B8" s="3">
        <v>0.78790509259259256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 t="s">
        <v>190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5" t="s">
        <v>35</v>
      </c>
      <c r="C24" s="15" t="s">
        <v>36</v>
      </c>
      <c r="D24" s="8" t="s">
        <v>102</v>
      </c>
      <c r="E24" s="9" t="s">
        <v>50</v>
      </c>
      <c r="F24" s="9" t="s">
        <v>51</v>
      </c>
      <c r="G24" s="9" t="s">
        <v>52</v>
      </c>
      <c r="H24" s="9" t="s">
        <v>131</v>
      </c>
      <c r="I24" s="9" t="s">
        <v>194</v>
      </c>
      <c r="J24" s="9" t="s">
        <v>195</v>
      </c>
      <c r="K24" s="9" t="s">
        <v>196</v>
      </c>
      <c r="L24" s="9" t="s">
        <v>197</v>
      </c>
      <c r="M24" s="9" t="s">
        <v>198</v>
      </c>
      <c r="N24" s="9" t="s">
        <v>199</v>
      </c>
      <c r="O24" s="11" t="s">
        <v>39</v>
      </c>
    </row>
    <row r="25" spans="1:15" x14ac:dyDescent="0.25">
      <c r="B25" s="96"/>
      <c r="C25" s="16"/>
      <c r="D25" s="12">
        <v>100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1" t="s">
        <v>40</v>
      </c>
    </row>
    <row r="26" spans="1:15" x14ac:dyDescent="0.25">
      <c r="B26" s="95" t="s">
        <v>41</v>
      </c>
      <c r="C26" s="15" t="s">
        <v>36</v>
      </c>
      <c r="D26" s="8" t="s">
        <v>102</v>
      </c>
      <c r="E26" s="9" t="s">
        <v>50</v>
      </c>
      <c r="F26" s="9" t="s">
        <v>51</v>
      </c>
      <c r="G26" s="9" t="s">
        <v>52</v>
      </c>
      <c r="H26" s="9" t="s">
        <v>131</v>
      </c>
      <c r="I26" s="9" t="s">
        <v>194</v>
      </c>
      <c r="J26" s="9" t="s">
        <v>195</v>
      </c>
      <c r="K26" s="9" t="s">
        <v>196</v>
      </c>
      <c r="L26" s="9" t="s">
        <v>197</v>
      </c>
      <c r="M26" s="9" t="s">
        <v>198</v>
      </c>
      <c r="N26" s="9" t="s">
        <v>199</v>
      </c>
      <c r="O26" s="11" t="s">
        <v>39</v>
      </c>
    </row>
    <row r="27" spans="1:15" x14ac:dyDescent="0.25">
      <c r="B27" s="96"/>
      <c r="C27" s="16"/>
      <c r="D27" s="12">
        <v>100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1" t="s">
        <v>40</v>
      </c>
    </row>
    <row r="28" spans="1:15" x14ac:dyDescent="0.25">
      <c r="B28" s="95" t="s">
        <v>42</v>
      </c>
      <c r="C28" s="8" t="s">
        <v>98</v>
      </c>
      <c r="D28" s="8" t="s">
        <v>55</v>
      </c>
      <c r="E28" s="9" t="s">
        <v>56</v>
      </c>
      <c r="F28" s="9" t="s">
        <v>57</v>
      </c>
      <c r="G28" s="9" t="s">
        <v>132</v>
      </c>
      <c r="H28" s="9" t="s">
        <v>133</v>
      </c>
      <c r="I28" s="9" t="s">
        <v>200</v>
      </c>
      <c r="J28" s="9" t="s">
        <v>201</v>
      </c>
      <c r="K28" s="9" t="s">
        <v>202</v>
      </c>
      <c r="L28" s="9" t="s">
        <v>203</v>
      </c>
      <c r="M28" s="9" t="s">
        <v>204</v>
      </c>
      <c r="N28" s="9" t="s">
        <v>205</v>
      </c>
      <c r="O28" s="11" t="s">
        <v>39</v>
      </c>
    </row>
    <row r="29" spans="1:15" x14ac:dyDescent="0.25">
      <c r="B29" s="96"/>
      <c r="C29" s="12">
        <v>0</v>
      </c>
      <c r="D29" s="12">
        <v>150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1" t="s">
        <v>40</v>
      </c>
    </row>
    <row r="30" spans="1:15" x14ac:dyDescent="0.25">
      <c r="B30" s="95" t="s">
        <v>47</v>
      </c>
      <c r="C30" s="8" t="s">
        <v>98</v>
      </c>
      <c r="D30" s="8" t="s">
        <v>55</v>
      </c>
      <c r="E30" s="9" t="s">
        <v>56</v>
      </c>
      <c r="F30" s="9" t="s">
        <v>57</v>
      </c>
      <c r="G30" s="9" t="s">
        <v>132</v>
      </c>
      <c r="H30" s="9" t="s">
        <v>133</v>
      </c>
      <c r="I30" s="9" t="s">
        <v>200</v>
      </c>
      <c r="J30" s="9" t="s">
        <v>201</v>
      </c>
      <c r="K30" s="9" t="s">
        <v>202</v>
      </c>
      <c r="L30" s="9" t="s">
        <v>203</v>
      </c>
      <c r="M30" s="9" t="s">
        <v>204</v>
      </c>
      <c r="N30" s="9" t="s">
        <v>205</v>
      </c>
      <c r="O30" s="11" t="s">
        <v>39</v>
      </c>
    </row>
    <row r="31" spans="1:15" x14ac:dyDescent="0.25">
      <c r="B31" s="96"/>
      <c r="C31" s="12">
        <v>0</v>
      </c>
      <c r="D31" s="12">
        <v>150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1" t="s">
        <v>40</v>
      </c>
    </row>
    <row r="32" spans="1:15" x14ac:dyDescent="0.25">
      <c r="B32" s="95" t="s">
        <v>48</v>
      </c>
      <c r="C32" s="8" t="s">
        <v>43</v>
      </c>
      <c r="D32" s="8" t="s">
        <v>134</v>
      </c>
      <c r="E32" s="9" t="s">
        <v>37</v>
      </c>
      <c r="F32" s="9" t="s">
        <v>38</v>
      </c>
      <c r="G32" s="9" t="s">
        <v>135</v>
      </c>
      <c r="H32" s="9" t="s">
        <v>136</v>
      </c>
      <c r="I32" s="9" t="s">
        <v>206</v>
      </c>
      <c r="J32" s="9" t="s">
        <v>207</v>
      </c>
      <c r="K32" s="9" t="s">
        <v>208</v>
      </c>
      <c r="L32" s="9" t="s">
        <v>209</v>
      </c>
      <c r="M32" s="9" t="s">
        <v>210</v>
      </c>
      <c r="N32" s="9" t="s">
        <v>211</v>
      </c>
      <c r="O32" s="11" t="s">
        <v>39</v>
      </c>
    </row>
    <row r="33" spans="1:15" x14ac:dyDescent="0.25">
      <c r="B33" s="96"/>
      <c r="C33" s="12">
        <v>12.5</v>
      </c>
      <c r="D33" s="12">
        <v>200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1" t="s">
        <v>40</v>
      </c>
    </row>
    <row r="34" spans="1:15" x14ac:dyDescent="0.25">
      <c r="B34" s="95" t="s">
        <v>53</v>
      </c>
      <c r="C34" s="8" t="s">
        <v>43</v>
      </c>
      <c r="D34" s="8" t="s">
        <v>134</v>
      </c>
      <c r="E34" s="9" t="s">
        <v>37</v>
      </c>
      <c r="F34" s="9" t="s">
        <v>38</v>
      </c>
      <c r="G34" s="9" t="s">
        <v>135</v>
      </c>
      <c r="H34" s="9" t="s">
        <v>136</v>
      </c>
      <c r="I34" s="9" t="s">
        <v>206</v>
      </c>
      <c r="J34" s="9" t="s">
        <v>207</v>
      </c>
      <c r="K34" s="9" t="s">
        <v>208</v>
      </c>
      <c r="L34" s="9" t="s">
        <v>209</v>
      </c>
      <c r="M34" s="9" t="s">
        <v>210</v>
      </c>
      <c r="N34" s="9" t="s">
        <v>211</v>
      </c>
      <c r="O34" s="11" t="s">
        <v>39</v>
      </c>
    </row>
    <row r="35" spans="1:15" x14ac:dyDescent="0.25">
      <c r="B35" s="96"/>
      <c r="C35" s="12">
        <v>12.5</v>
      </c>
      <c r="D35" s="12">
        <v>200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1" t="s">
        <v>40</v>
      </c>
    </row>
    <row r="36" spans="1:15" x14ac:dyDescent="0.25">
      <c r="B36" s="95" t="s">
        <v>54</v>
      </c>
      <c r="C36" s="8" t="s">
        <v>49</v>
      </c>
      <c r="D36" s="9" t="s">
        <v>44</v>
      </c>
      <c r="E36" s="9" t="s">
        <v>45</v>
      </c>
      <c r="F36" s="9" t="s">
        <v>46</v>
      </c>
      <c r="G36" s="9" t="s">
        <v>137</v>
      </c>
      <c r="H36" s="9" t="s">
        <v>138</v>
      </c>
      <c r="I36" s="9" t="s">
        <v>212</v>
      </c>
      <c r="J36" s="9" t="s">
        <v>213</v>
      </c>
      <c r="K36" s="9" t="s">
        <v>214</v>
      </c>
      <c r="L36" s="9" t="s">
        <v>215</v>
      </c>
      <c r="M36" s="9" t="s">
        <v>216</v>
      </c>
      <c r="N36" s="9" t="s">
        <v>217</v>
      </c>
      <c r="O36" s="11" t="s">
        <v>39</v>
      </c>
    </row>
    <row r="37" spans="1:15" x14ac:dyDescent="0.25">
      <c r="B37" s="96"/>
      <c r="C37" s="12">
        <v>50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1" t="s">
        <v>40</v>
      </c>
    </row>
    <row r="38" spans="1:15" x14ac:dyDescent="0.25">
      <c r="B38" s="95" t="s">
        <v>58</v>
      </c>
      <c r="C38" s="8" t="s">
        <v>49</v>
      </c>
      <c r="D38" s="9" t="s">
        <v>44</v>
      </c>
      <c r="E38" s="9" t="s">
        <v>45</v>
      </c>
      <c r="F38" s="9" t="s">
        <v>46</v>
      </c>
      <c r="G38" s="9" t="s">
        <v>137</v>
      </c>
      <c r="H38" s="9" t="s">
        <v>138</v>
      </c>
      <c r="I38" s="9" t="s">
        <v>212</v>
      </c>
      <c r="J38" s="9" t="s">
        <v>213</v>
      </c>
      <c r="K38" s="9" t="s">
        <v>214</v>
      </c>
      <c r="L38" s="9" t="s">
        <v>215</v>
      </c>
      <c r="M38" s="9" t="s">
        <v>216</v>
      </c>
      <c r="N38" s="9" t="s">
        <v>217</v>
      </c>
      <c r="O38" s="11" t="s">
        <v>39</v>
      </c>
    </row>
    <row r="39" spans="1:15" x14ac:dyDescent="0.25">
      <c r="B39" s="96"/>
      <c r="C39" s="12">
        <v>50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26.2</v>
      </c>
    </row>
    <row r="43" spans="1:15" x14ac:dyDescent="0.25">
      <c r="A43" s="1" t="s">
        <v>59</v>
      </c>
      <c r="B43" s="1">
        <v>26.2</v>
      </c>
    </row>
    <row r="44" spans="1:15" x14ac:dyDescent="0.25">
      <c r="A44" s="1" t="s">
        <v>59</v>
      </c>
      <c r="B44" s="1">
        <v>26.2</v>
      </c>
    </row>
    <row r="45" spans="1:15" x14ac:dyDescent="0.25">
      <c r="A45" s="1" t="s">
        <v>59</v>
      </c>
      <c r="B45" s="1">
        <v>26.2</v>
      </c>
    </row>
    <row r="46" spans="1:15" x14ac:dyDescent="0.25">
      <c r="A46" s="1" t="s">
        <v>59</v>
      </c>
      <c r="B46" s="1">
        <v>26.2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64</v>
      </c>
      <c r="D49" s="17"/>
      <c r="E49" s="17">
        <v>4.2000000000000003E-2</v>
      </c>
      <c r="F49" s="17">
        <v>2</v>
      </c>
      <c r="G49" s="17">
        <v>4.3999999999999997E-2</v>
      </c>
      <c r="H49" s="17">
        <v>2E-3</v>
      </c>
      <c r="I49" s="17">
        <v>4.5410000000000004</v>
      </c>
    </row>
    <row r="50" spans="2:9" x14ac:dyDescent="0.25">
      <c r="B50" s="17"/>
      <c r="C50" s="17" t="s">
        <v>65</v>
      </c>
      <c r="D50" s="17"/>
      <c r="E50" s="17">
        <v>4.4999999999999998E-2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70</v>
      </c>
      <c r="D51" s="17"/>
      <c r="E51" s="17">
        <v>0.161</v>
      </c>
      <c r="F51" s="17">
        <v>2</v>
      </c>
      <c r="G51" s="17">
        <v>0.16500000000000001</v>
      </c>
      <c r="H51" s="17">
        <v>5.0000000000000001E-3</v>
      </c>
      <c r="I51" s="17">
        <v>3.137</v>
      </c>
    </row>
    <row r="52" spans="2:9" x14ac:dyDescent="0.25">
      <c r="B52" s="17"/>
      <c r="C52" s="17" t="s">
        <v>71</v>
      </c>
      <c r="D52" s="17"/>
      <c r="E52" s="17">
        <v>0.16800000000000001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72</v>
      </c>
      <c r="D53" s="17"/>
      <c r="E53" s="17">
        <v>0.14599999999999999</v>
      </c>
      <c r="F53" s="17">
        <v>2</v>
      </c>
      <c r="G53" s="17">
        <v>0.152</v>
      </c>
      <c r="H53" s="17">
        <v>8.9999999999999993E-3</v>
      </c>
      <c r="I53" s="17">
        <v>6.1289999999999996</v>
      </c>
    </row>
    <row r="54" spans="2:9" x14ac:dyDescent="0.25">
      <c r="B54" s="17"/>
      <c r="C54" s="17" t="s">
        <v>73</v>
      </c>
      <c r="D54" s="17"/>
      <c r="E54" s="17">
        <v>0.159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74</v>
      </c>
      <c r="D55" s="17"/>
      <c r="E55" s="17">
        <v>0.109</v>
      </c>
      <c r="F55" s="17">
        <v>2</v>
      </c>
      <c r="G55" s="17">
        <v>9.7000000000000003E-2</v>
      </c>
      <c r="H55" s="17">
        <v>1.6E-2</v>
      </c>
      <c r="I55" s="17">
        <v>17.010999999999999</v>
      </c>
    </row>
    <row r="56" spans="2:9" x14ac:dyDescent="0.25">
      <c r="B56" s="17"/>
      <c r="C56" s="17" t="s">
        <v>75</v>
      </c>
      <c r="D56" s="17"/>
      <c r="E56" s="17">
        <v>8.5000000000000006E-2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76</v>
      </c>
      <c r="D57" s="17"/>
      <c r="E57" s="17">
        <v>0.122</v>
      </c>
      <c r="F57" s="17">
        <v>2</v>
      </c>
      <c r="G57" s="17">
        <v>0.12</v>
      </c>
      <c r="H57" s="17">
        <v>2E-3</v>
      </c>
      <c r="I57" s="17">
        <v>1.4690000000000001</v>
      </c>
    </row>
    <row r="58" spans="2:9" x14ac:dyDescent="0.25">
      <c r="B58" s="17"/>
      <c r="C58" s="17" t="s">
        <v>77</v>
      </c>
      <c r="D58" s="17"/>
      <c r="E58" s="17">
        <v>0.11899999999999999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78</v>
      </c>
      <c r="D59" s="17"/>
      <c r="E59" s="17">
        <v>0.09</v>
      </c>
      <c r="F59" s="17">
        <v>2</v>
      </c>
      <c r="G59" s="17">
        <v>9.2999999999999999E-2</v>
      </c>
      <c r="H59" s="17">
        <v>4.0000000000000001E-3</v>
      </c>
      <c r="I59" s="17">
        <v>4.3959999999999999</v>
      </c>
    </row>
    <row r="60" spans="2:9" x14ac:dyDescent="0.25">
      <c r="B60" s="17"/>
      <c r="C60" s="17" t="s">
        <v>79</v>
      </c>
      <c r="D60" s="17"/>
      <c r="E60" s="17">
        <v>9.6000000000000002E-2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80</v>
      </c>
      <c r="D61" s="17"/>
      <c r="E61" s="17">
        <v>0.19800000000000001</v>
      </c>
      <c r="F61" s="17">
        <v>2</v>
      </c>
      <c r="G61" s="17">
        <v>0.19700000000000001</v>
      </c>
      <c r="H61" s="17">
        <v>2E-3</v>
      </c>
      <c r="I61" s="17">
        <v>0.93400000000000005</v>
      </c>
    </row>
    <row r="62" spans="2:9" x14ac:dyDescent="0.25">
      <c r="B62" s="17"/>
      <c r="C62" s="17" t="s">
        <v>81</v>
      </c>
      <c r="D62" s="17"/>
      <c r="E62" s="17">
        <v>0.19600000000000001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82</v>
      </c>
      <c r="D63" s="17"/>
      <c r="E63" s="17">
        <v>8.4000000000000005E-2</v>
      </c>
      <c r="F63" s="17">
        <v>2</v>
      </c>
      <c r="G63" s="17">
        <v>8.8999999999999996E-2</v>
      </c>
      <c r="H63" s="17">
        <v>8.0000000000000002E-3</v>
      </c>
      <c r="I63" s="17">
        <v>8.4960000000000004</v>
      </c>
    </row>
    <row r="64" spans="2:9" x14ac:dyDescent="0.25">
      <c r="B64" s="17"/>
      <c r="C64" s="17" t="s">
        <v>83</v>
      </c>
      <c r="D64" s="17"/>
      <c r="E64" s="17">
        <v>9.4E-2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84</v>
      </c>
      <c r="D65" s="17"/>
      <c r="E65" s="17">
        <v>0.11700000000000001</v>
      </c>
      <c r="F65" s="17">
        <v>2</v>
      </c>
      <c r="G65" s="17">
        <v>0.12</v>
      </c>
      <c r="H65" s="17">
        <v>3.0000000000000001E-3</v>
      </c>
      <c r="I65" s="17">
        <v>2.7730000000000001</v>
      </c>
    </row>
    <row r="66" spans="2:9" x14ac:dyDescent="0.25">
      <c r="B66" s="17"/>
      <c r="C66" s="17" t="s">
        <v>85</v>
      </c>
      <c r="D66" s="17"/>
      <c r="E66" s="17">
        <v>0.122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86</v>
      </c>
      <c r="D67" s="17"/>
      <c r="E67" s="17">
        <v>0.129</v>
      </c>
      <c r="F67" s="17">
        <v>2</v>
      </c>
      <c r="G67" s="17">
        <v>0.13500000000000001</v>
      </c>
      <c r="H67" s="17">
        <v>0.01</v>
      </c>
      <c r="I67" s="17">
        <v>7.1020000000000003</v>
      </c>
    </row>
    <row r="68" spans="2:9" x14ac:dyDescent="0.25">
      <c r="B68" s="17"/>
      <c r="C68" s="17" t="s">
        <v>87</v>
      </c>
      <c r="D68" s="17"/>
      <c r="E68" s="17">
        <v>0.14199999999999999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139</v>
      </c>
      <c r="D69" s="17"/>
      <c r="E69" s="17">
        <v>0.115</v>
      </c>
      <c r="F69" s="17">
        <v>2</v>
      </c>
      <c r="G69" s="17">
        <v>0.112</v>
      </c>
      <c r="H69" s="17">
        <v>4.0000000000000001E-3</v>
      </c>
      <c r="I69" s="17">
        <v>3.8050000000000002</v>
      </c>
    </row>
    <row r="70" spans="2:9" x14ac:dyDescent="0.25">
      <c r="B70" s="17"/>
      <c r="C70" s="17" t="s">
        <v>140</v>
      </c>
      <c r="D70" s="17"/>
      <c r="E70" s="17">
        <v>0.109</v>
      </c>
      <c r="F70" s="17"/>
      <c r="G70" s="17"/>
      <c r="H70" s="17"/>
      <c r="I70" s="17"/>
    </row>
    <row r="71" spans="2:9" x14ac:dyDescent="0.25">
      <c r="B71" s="17" t="s">
        <v>132</v>
      </c>
      <c r="C71" s="17" t="s">
        <v>141</v>
      </c>
      <c r="D71" s="17"/>
      <c r="E71" s="17">
        <v>0.1</v>
      </c>
      <c r="F71" s="17">
        <v>2</v>
      </c>
      <c r="G71" s="17">
        <v>0.10299999999999999</v>
      </c>
      <c r="H71" s="17">
        <v>3.0000000000000001E-3</v>
      </c>
      <c r="I71" s="17">
        <v>3.3719999999999999</v>
      </c>
    </row>
    <row r="72" spans="2:9" x14ac:dyDescent="0.25">
      <c r="B72" s="17"/>
      <c r="C72" s="17" t="s">
        <v>142</v>
      </c>
      <c r="D72" s="17"/>
      <c r="E72" s="17">
        <v>0.105</v>
      </c>
      <c r="F72" s="17"/>
      <c r="G72" s="17"/>
      <c r="H72" s="17"/>
      <c r="I72" s="17"/>
    </row>
    <row r="73" spans="2:9" x14ac:dyDescent="0.25">
      <c r="B73" s="17" t="s">
        <v>135</v>
      </c>
      <c r="C73" s="17" t="s">
        <v>143</v>
      </c>
      <c r="D73" s="17"/>
      <c r="E73" s="17">
        <v>9.0999999999999998E-2</v>
      </c>
      <c r="F73" s="17">
        <v>2</v>
      </c>
      <c r="G73" s="17">
        <v>9.4E-2</v>
      </c>
      <c r="H73" s="17">
        <v>4.0000000000000001E-3</v>
      </c>
      <c r="I73" s="17">
        <v>3.843</v>
      </c>
    </row>
    <row r="74" spans="2:9" x14ac:dyDescent="0.25">
      <c r="B74" s="17"/>
      <c r="C74" s="17" t="s">
        <v>144</v>
      </c>
      <c r="D74" s="17"/>
      <c r="E74" s="17">
        <v>9.6000000000000002E-2</v>
      </c>
      <c r="F74" s="17"/>
      <c r="G74" s="17"/>
      <c r="H74" s="17"/>
      <c r="I74" s="17"/>
    </row>
    <row r="75" spans="2:9" x14ac:dyDescent="0.25">
      <c r="B75" s="17" t="s">
        <v>137</v>
      </c>
      <c r="C75" s="17" t="s">
        <v>145</v>
      </c>
      <c r="D75" s="17"/>
      <c r="E75" s="17">
        <v>0.14099999999999999</v>
      </c>
      <c r="F75" s="17">
        <v>2</v>
      </c>
      <c r="G75" s="17">
        <v>0.13100000000000001</v>
      </c>
      <c r="H75" s="17">
        <v>1.4999999999999999E-2</v>
      </c>
      <c r="I75" s="17">
        <v>11.42</v>
      </c>
    </row>
    <row r="76" spans="2:9" x14ac:dyDescent="0.25">
      <c r="B76" s="17"/>
      <c r="C76" s="17" t="s">
        <v>146</v>
      </c>
      <c r="D76" s="17"/>
      <c r="E76" s="17">
        <v>0.12</v>
      </c>
      <c r="F76" s="17"/>
      <c r="G76" s="17"/>
      <c r="H76" s="17"/>
      <c r="I76" s="17"/>
    </row>
    <row r="77" spans="2:9" x14ac:dyDescent="0.25">
      <c r="B77" s="17" t="s">
        <v>131</v>
      </c>
      <c r="C77" s="17" t="s">
        <v>147</v>
      </c>
      <c r="D77" s="17"/>
      <c r="E77" s="17">
        <v>0.14699999999999999</v>
      </c>
      <c r="F77" s="17">
        <v>2</v>
      </c>
      <c r="G77" s="17">
        <v>0.159</v>
      </c>
      <c r="H77" s="17">
        <v>1.7000000000000001E-2</v>
      </c>
      <c r="I77" s="17">
        <v>10.625</v>
      </c>
    </row>
    <row r="78" spans="2:9" x14ac:dyDescent="0.25">
      <c r="B78" s="17"/>
      <c r="C78" s="17" t="s">
        <v>148</v>
      </c>
      <c r="D78" s="17"/>
      <c r="E78" s="17">
        <v>0.17100000000000001</v>
      </c>
      <c r="F78" s="17"/>
      <c r="G78" s="17"/>
      <c r="H78" s="17"/>
      <c r="I78" s="17"/>
    </row>
    <row r="79" spans="2:9" x14ac:dyDescent="0.25">
      <c r="B79" s="17" t="s">
        <v>133</v>
      </c>
      <c r="C79" s="17" t="s">
        <v>149</v>
      </c>
      <c r="D79" s="17"/>
      <c r="E79" s="17">
        <v>8.5999999999999993E-2</v>
      </c>
      <c r="F79" s="17">
        <v>2</v>
      </c>
      <c r="G79" s="17">
        <v>8.8999999999999996E-2</v>
      </c>
      <c r="H79" s="17">
        <v>5.0000000000000001E-3</v>
      </c>
      <c r="I79" s="17">
        <v>5.1790000000000003</v>
      </c>
    </row>
    <row r="80" spans="2:9" x14ac:dyDescent="0.25">
      <c r="B80" s="17"/>
      <c r="C80" s="17" t="s">
        <v>150</v>
      </c>
      <c r="D80" s="17"/>
      <c r="E80" s="17">
        <v>9.1999999999999998E-2</v>
      </c>
      <c r="F80" s="17"/>
      <c r="G80" s="17"/>
      <c r="H80" s="17"/>
      <c r="I80" s="17"/>
    </row>
    <row r="81" spans="2:9" x14ac:dyDescent="0.25">
      <c r="B81" s="17" t="s">
        <v>136</v>
      </c>
      <c r="C81" s="17" t="s">
        <v>151</v>
      </c>
      <c r="D81" s="17"/>
      <c r="E81" s="17">
        <v>0.158</v>
      </c>
      <c r="F81" s="17">
        <v>2</v>
      </c>
      <c r="G81" s="17">
        <v>0.16400000000000001</v>
      </c>
      <c r="H81" s="17">
        <v>8.9999999999999993E-3</v>
      </c>
      <c r="I81" s="17">
        <v>5.5049999999999999</v>
      </c>
    </row>
    <row r="82" spans="2:9" x14ac:dyDescent="0.25">
      <c r="B82" s="17"/>
      <c r="C82" s="17" t="s">
        <v>152</v>
      </c>
      <c r="D82" s="17"/>
      <c r="E82" s="17">
        <v>0.17100000000000001</v>
      </c>
      <c r="F82" s="17"/>
      <c r="G82" s="17"/>
      <c r="H82" s="17"/>
      <c r="I82" s="17"/>
    </row>
    <row r="83" spans="2:9" x14ac:dyDescent="0.25">
      <c r="B83" s="17" t="s">
        <v>138</v>
      </c>
      <c r="C83" s="17" t="s">
        <v>153</v>
      </c>
      <c r="D83" s="17"/>
      <c r="E83" s="17">
        <v>8.7999999999999995E-2</v>
      </c>
      <c r="F83" s="17">
        <v>2</v>
      </c>
      <c r="G83" s="17">
        <v>0.09</v>
      </c>
      <c r="H83" s="17">
        <v>3.0000000000000001E-3</v>
      </c>
      <c r="I83" s="17">
        <v>3.15</v>
      </c>
    </row>
    <row r="84" spans="2:9" x14ac:dyDescent="0.25">
      <c r="B84" s="17"/>
      <c r="C84" s="17" t="s">
        <v>154</v>
      </c>
      <c r="D84" s="17"/>
      <c r="E84" s="17">
        <v>9.1999999999999998E-2</v>
      </c>
      <c r="F84" s="17"/>
      <c r="G84" s="17"/>
      <c r="H84" s="17"/>
      <c r="I84" s="17"/>
    </row>
    <row r="85" spans="2:9" x14ac:dyDescent="0.25">
      <c r="B85" s="17" t="s">
        <v>194</v>
      </c>
      <c r="C85" s="17" t="s">
        <v>218</v>
      </c>
      <c r="D85" s="17"/>
      <c r="E85" s="17">
        <v>0.106</v>
      </c>
      <c r="F85" s="17">
        <v>2</v>
      </c>
      <c r="G85" s="17">
        <v>0.11</v>
      </c>
      <c r="H85" s="17">
        <v>5.0000000000000001E-3</v>
      </c>
      <c r="I85" s="17">
        <v>4.5659999999999998</v>
      </c>
    </row>
    <row r="86" spans="2:9" x14ac:dyDescent="0.25">
      <c r="B86" s="17"/>
      <c r="C86" s="17" t="s">
        <v>219</v>
      </c>
      <c r="D86" s="17"/>
      <c r="E86" s="17">
        <v>0.114</v>
      </c>
      <c r="F86" s="17"/>
      <c r="G86" s="17"/>
      <c r="H86" s="17"/>
      <c r="I86" s="17"/>
    </row>
    <row r="87" spans="2:9" x14ac:dyDescent="0.25">
      <c r="B87" s="17" t="s">
        <v>200</v>
      </c>
      <c r="C87" s="17" t="s">
        <v>220</v>
      </c>
      <c r="D87" s="17"/>
      <c r="E87" s="17">
        <v>9.9000000000000005E-2</v>
      </c>
      <c r="F87" s="17">
        <v>2</v>
      </c>
      <c r="G87" s="17">
        <v>0.1</v>
      </c>
      <c r="H87" s="17">
        <v>2E-3</v>
      </c>
      <c r="I87" s="17">
        <v>1.974</v>
      </c>
    </row>
    <row r="88" spans="2:9" x14ac:dyDescent="0.25">
      <c r="B88" s="17"/>
      <c r="C88" s="17" t="s">
        <v>221</v>
      </c>
      <c r="D88" s="17"/>
      <c r="E88" s="17">
        <v>0.10199999999999999</v>
      </c>
      <c r="F88" s="17"/>
      <c r="G88" s="17"/>
      <c r="H88" s="17"/>
      <c r="I88" s="17"/>
    </row>
    <row r="89" spans="2:9" x14ac:dyDescent="0.25">
      <c r="B89" s="17" t="s">
        <v>206</v>
      </c>
      <c r="C89" s="17" t="s">
        <v>222</v>
      </c>
      <c r="D89" s="17"/>
      <c r="E89" s="17">
        <v>0.14399999999999999</v>
      </c>
      <c r="F89" s="17">
        <v>2</v>
      </c>
      <c r="G89" s="17">
        <v>0.183</v>
      </c>
      <c r="H89" s="17">
        <v>5.3999999999999999E-2</v>
      </c>
      <c r="I89" s="17">
        <v>29.507999999999999</v>
      </c>
    </row>
    <row r="90" spans="2:9" x14ac:dyDescent="0.25">
      <c r="B90" s="17"/>
      <c r="C90" s="17" t="s">
        <v>223</v>
      </c>
      <c r="D90" s="17"/>
      <c r="E90" s="17">
        <v>0.221</v>
      </c>
      <c r="F90" s="17"/>
      <c r="G90" s="17"/>
      <c r="H90" s="17"/>
      <c r="I90" s="17"/>
    </row>
    <row r="91" spans="2:9" x14ac:dyDescent="0.25">
      <c r="B91" s="17" t="s">
        <v>212</v>
      </c>
      <c r="C91" s="17" t="s">
        <v>224</v>
      </c>
      <c r="D91" s="17"/>
      <c r="E91" s="17">
        <v>0.17499999999999999</v>
      </c>
      <c r="F91" s="17">
        <v>2</v>
      </c>
      <c r="G91" s="17">
        <v>0.17599999999999999</v>
      </c>
      <c r="H91" s="17">
        <v>1E-3</v>
      </c>
      <c r="I91" s="17">
        <v>0.64400000000000002</v>
      </c>
    </row>
    <row r="92" spans="2:9" x14ac:dyDescent="0.25">
      <c r="B92" s="17"/>
      <c r="C92" s="17" t="s">
        <v>225</v>
      </c>
      <c r="D92" s="17"/>
      <c r="E92" s="17">
        <v>0.17599999999999999</v>
      </c>
      <c r="F92" s="17"/>
      <c r="G92" s="17"/>
      <c r="H92" s="17"/>
      <c r="I92" s="17"/>
    </row>
    <row r="93" spans="2:9" x14ac:dyDescent="0.25">
      <c r="B93" s="17" t="s">
        <v>195</v>
      </c>
      <c r="C93" s="17" t="s">
        <v>226</v>
      </c>
      <c r="D93" s="17"/>
      <c r="E93" s="17">
        <v>0.152</v>
      </c>
      <c r="F93" s="17">
        <v>2</v>
      </c>
      <c r="G93" s="17">
        <v>0.14699999999999999</v>
      </c>
      <c r="H93" s="17">
        <v>6.0000000000000001E-3</v>
      </c>
      <c r="I93" s="17">
        <v>4.3760000000000003</v>
      </c>
    </row>
    <row r="94" spans="2:9" x14ac:dyDescent="0.25">
      <c r="B94" s="17"/>
      <c r="C94" s="17" t="s">
        <v>227</v>
      </c>
      <c r="D94" s="17"/>
      <c r="E94" s="17">
        <v>0.14199999999999999</v>
      </c>
      <c r="F94" s="17"/>
      <c r="G94" s="17"/>
      <c r="H94" s="17"/>
      <c r="I94" s="17"/>
    </row>
    <row r="95" spans="2:9" x14ac:dyDescent="0.25">
      <c r="B95" s="17" t="s">
        <v>201</v>
      </c>
      <c r="C95" s="17" t="s">
        <v>228</v>
      </c>
      <c r="D95" s="17"/>
      <c r="E95" s="17">
        <v>0.16200000000000001</v>
      </c>
      <c r="F95" s="17">
        <v>2</v>
      </c>
      <c r="G95" s="17">
        <v>0.16500000000000001</v>
      </c>
      <c r="H95" s="17">
        <v>3.0000000000000001E-3</v>
      </c>
      <c r="I95" s="17">
        <v>2.02</v>
      </c>
    </row>
    <row r="96" spans="2:9" x14ac:dyDescent="0.25">
      <c r="B96" s="17"/>
      <c r="C96" s="17" t="s">
        <v>229</v>
      </c>
      <c r="D96" s="17"/>
      <c r="E96" s="17">
        <v>0.16700000000000001</v>
      </c>
      <c r="F96" s="17"/>
      <c r="G96" s="17"/>
      <c r="H96" s="17"/>
      <c r="I96" s="17"/>
    </row>
    <row r="97" spans="2:9" x14ac:dyDescent="0.25">
      <c r="B97" s="17" t="s">
        <v>207</v>
      </c>
      <c r="C97" s="17" t="s">
        <v>230</v>
      </c>
      <c r="D97" s="17"/>
      <c r="E97" s="17">
        <v>0.11799999999999999</v>
      </c>
      <c r="F97" s="17">
        <v>2</v>
      </c>
      <c r="G97" s="17">
        <v>0.11899999999999999</v>
      </c>
      <c r="H97" s="17">
        <v>1E-3</v>
      </c>
      <c r="I97" s="17">
        <v>1.252</v>
      </c>
    </row>
    <row r="98" spans="2:9" x14ac:dyDescent="0.25">
      <c r="B98" s="17"/>
      <c r="C98" s="17" t="s">
        <v>231</v>
      </c>
      <c r="D98" s="17"/>
      <c r="E98" s="17">
        <v>0.12</v>
      </c>
      <c r="F98" s="17"/>
      <c r="G98" s="17"/>
      <c r="H98" s="17"/>
      <c r="I98" s="17"/>
    </row>
    <row r="99" spans="2:9" x14ac:dyDescent="0.25">
      <c r="B99" s="17" t="s">
        <v>213</v>
      </c>
      <c r="C99" s="17" t="s">
        <v>232</v>
      </c>
      <c r="D99" s="17"/>
      <c r="E99" s="17">
        <v>6.2E-2</v>
      </c>
      <c r="F99" s="17">
        <v>2</v>
      </c>
      <c r="G99" s="17">
        <v>6.0999999999999999E-2</v>
      </c>
      <c r="H99" s="17">
        <v>1E-3</v>
      </c>
      <c r="I99" s="17">
        <v>2.42</v>
      </c>
    </row>
    <row r="100" spans="2:9" x14ac:dyDescent="0.25">
      <c r="B100" s="17"/>
      <c r="C100" s="17" t="s">
        <v>233</v>
      </c>
      <c r="D100" s="17"/>
      <c r="E100" s="17">
        <v>0.06</v>
      </c>
      <c r="F100" s="17"/>
      <c r="G100" s="17"/>
      <c r="H100" s="17"/>
      <c r="I100" s="17"/>
    </row>
    <row r="101" spans="2:9" x14ac:dyDescent="0.25">
      <c r="B101" s="17" t="s">
        <v>196</v>
      </c>
      <c r="C101" s="17" t="s">
        <v>234</v>
      </c>
      <c r="D101" s="17"/>
      <c r="E101" s="17">
        <v>9.1999999999999998E-2</v>
      </c>
      <c r="F101" s="17">
        <v>2</v>
      </c>
      <c r="G101" s="17">
        <v>9.0999999999999998E-2</v>
      </c>
      <c r="H101" s="17">
        <v>1E-3</v>
      </c>
      <c r="I101" s="17">
        <v>1.627</v>
      </c>
    </row>
    <row r="102" spans="2:9" x14ac:dyDescent="0.25">
      <c r="B102" s="17"/>
      <c r="C102" s="17" t="s">
        <v>235</v>
      </c>
      <c r="D102" s="17"/>
      <c r="E102" s="17">
        <v>0.09</v>
      </c>
      <c r="F102" s="17"/>
      <c r="G102" s="17"/>
      <c r="H102" s="17"/>
      <c r="I102" s="17"/>
    </row>
    <row r="103" spans="2:9" x14ac:dyDescent="0.25">
      <c r="B103" s="17" t="s">
        <v>202</v>
      </c>
      <c r="C103" s="17" t="s">
        <v>236</v>
      </c>
      <c r="D103" s="17"/>
      <c r="E103" s="17">
        <v>8.1000000000000003E-2</v>
      </c>
      <c r="F103" s="17">
        <v>2</v>
      </c>
      <c r="G103" s="17">
        <v>7.0999999999999994E-2</v>
      </c>
      <c r="H103" s="17">
        <v>1.2999999999999999E-2</v>
      </c>
      <c r="I103" s="17">
        <v>18.111000000000001</v>
      </c>
    </row>
    <row r="104" spans="2:9" x14ac:dyDescent="0.25">
      <c r="B104" s="17"/>
      <c r="C104" s="17" t="s">
        <v>237</v>
      </c>
      <c r="D104" s="17"/>
      <c r="E104" s="17">
        <v>6.2E-2</v>
      </c>
      <c r="F104" s="17"/>
      <c r="G104" s="17"/>
      <c r="H104" s="17"/>
      <c r="I104" s="17"/>
    </row>
    <row r="105" spans="2:9" x14ac:dyDescent="0.25">
      <c r="B105" s="17" t="s">
        <v>208</v>
      </c>
      <c r="C105" s="17" t="s">
        <v>238</v>
      </c>
      <c r="D105" s="17"/>
      <c r="E105" s="17">
        <v>9.0999999999999998E-2</v>
      </c>
      <c r="F105" s="17">
        <v>2</v>
      </c>
      <c r="G105" s="17">
        <v>9.4E-2</v>
      </c>
      <c r="H105" s="17">
        <v>4.0000000000000001E-3</v>
      </c>
      <c r="I105" s="17">
        <v>3.7610000000000001</v>
      </c>
    </row>
    <row r="106" spans="2:9" x14ac:dyDescent="0.25">
      <c r="B106" s="17"/>
      <c r="C106" s="17" t="s">
        <v>239</v>
      </c>
      <c r="D106" s="17"/>
      <c r="E106" s="17">
        <v>9.7000000000000003E-2</v>
      </c>
      <c r="F106" s="17"/>
      <c r="G106" s="17"/>
      <c r="H106" s="17"/>
      <c r="I106" s="17"/>
    </row>
    <row r="107" spans="2:9" x14ac:dyDescent="0.25">
      <c r="B107" s="17" t="s">
        <v>214</v>
      </c>
      <c r="C107" s="17" t="s">
        <v>240</v>
      </c>
      <c r="D107" s="17"/>
      <c r="E107" s="17">
        <v>0.26500000000000001</v>
      </c>
      <c r="F107" s="17">
        <v>2</v>
      </c>
      <c r="G107" s="17">
        <v>0.26900000000000002</v>
      </c>
      <c r="H107" s="17">
        <v>5.0000000000000001E-3</v>
      </c>
      <c r="I107" s="17">
        <v>2.0009999999999999</v>
      </c>
    </row>
    <row r="108" spans="2:9" x14ac:dyDescent="0.25">
      <c r="B108" s="17"/>
      <c r="C108" s="17" t="s">
        <v>241</v>
      </c>
      <c r="D108" s="17"/>
      <c r="E108" s="17">
        <v>0.27200000000000002</v>
      </c>
      <c r="F108" s="17"/>
      <c r="G108" s="17"/>
      <c r="H108" s="17"/>
      <c r="I108" s="17"/>
    </row>
    <row r="109" spans="2:9" x14ac:dyDescent="0.25">
      <c r="B109" s="17" t="s">
        <v>197</v>
      </c>
      <c r="C109" s="17" t="s">
        <v>242</v>
      </c>
      <c r="D109" s="17"/>
      <c r="E109" s="17">
        <v>4.5999999999999999E-2</v>
      </c>
      <c r="F109" s="17">
        <v>2</v>
      </c>
      <c r="G109" s="17">
        <v>4.3999999999999997E-2</v>
      </c>
      <c r="H109" s="17">
        <v>2E-3</v>
      </c>
      <c r="I109" s="17">
        <v>3.9769999999999999</v>
      </c>
    </row>
    <row r="110" spans="2:9" x14ac:dyDescent="0.25">
      <c r="B110" s="17"/>
      <c r="C110" s="17" t="s">
        <v>243</v>
      </c>
      <c r="D110" s="17"/>
      <c r="E110" s="17">
        <v>4.2999999999999997E-2</v>
      </c>
      <c r="F110" s="17"/>
      <c r="G110" s="17"/>
      <c r="H110" s="17"/>
      <c r="I110" s="17"/>
    </row>
    <row r="111" spans="2:9" x14ac:dyDescent="0.25">
      <c r="B111" s="17" t="s">
        <v>203</v>
      </c>
      <c r="C111" s="17" t="s">
        <v>244</v>
      </c>
      <c r="D111" s="17"/>
      <c r="E111" s="17">
        <v>0.19600000000000001</v>
      </c>
      <c r="F111" s="17">
        <v>2</v>
      </c>
      <c r="G111" s="17">
        <v>0.188</v>
      </c>
      <c r="H111" s="17">
        <v>1.0999999999999999E-2</v>
      </c>
      <c r="I111" s="17">
        <v>6.0570000000000004</v>
      </c>
    </row>
    <row r="112" spans="2:9" x14ac:dyDescent="0.25">
      <c r="B112" s="17"/>
      <c r="C112" s="17" t="s">
        <v>245</v>
      </c>
      <c r="D112" s="17"/>
      <c r="E112" s="17">
        <v>0.18</v>
      </c>
      <c r="F112" s="17"/>
      <c r="G112" s="17"/>
      <c r="H112" s="17"/>
      <c r="I112" s="17"/>
    </row>
    <row r="113" spans="2:9" x14ac:dyDescent="0.25">
      <c r="B113" s="17" t="s">
        <v>209</v>
      </c>
      <c r="C113" s="17" t="s">
        <v>246</v>
      </c>
      <c r="D113" s="17"/>
      <c r="E113" s="17">
        <v>0.154</v>
      </c>
      <c r="F113" s="17">
        <v>2</v>
      </c>
      <c r="G113" s="17">
        <v>0.155</v>
      </c>
      <c r="H113" s="17">
        <v>1E-3</v>
      </c>
      <c r="I113" s="17">
        <v>0.86899999999999999</v>
      </c>
    </row>
    <row r="114" spans="2:9" x14ac:dyDescent="0.25">
      <c r="B114" s="17"/>
      <c r="C114" s="17" t="s">
        <v>247</v>
      </c>
      <c r="D114" s="17"/>
      <c r="E114" s="17">
        <v>0.156</v>
      </c>
      <c r="F114" s="17"/>
      <c r="G114" s="17"/>
      <c r="H114" s="17"/>
      <c r="I114" s="17"/>
    </row>
    <row r="115" spans="2:9" x14ac:dyDescent="0.25">
      <c r="B115" s="17" t="s">
        <v>215</v>
      </c>
      <c r="C115" s="17" t="s">
        <v>248</v>
      </c>
      <c r="D115" s="17"/>
      <c r="E115" s="17">
        <v>4.4999999999999998E-2</v>
      </c>
      <c r="F115" s="17">
        <v>2</v>
      </c>
      <c r="G115" s="17">
        <v>4.5999999999999999E-2</v>
      </c>
      <c r="H115" s="17">
        <v>0</v>
      </c>
      <c r="I115" s="17">
        <v>0.155</v>
      </c>
    </row>
    <row r="116" spans="2:9" x14ac:dyDescent="0.25">
      <c r="B116" s="17"/>
      <c r="C116" s="17" t="s">
        <v>249</v>
      </c>
      <c r="D116" s="17"/>
      <c r="E116" s="17">
        <v>4.5999999999999999E-2</v>
      </c>
      <c r="F116" s="17"/>
      <c r="G116" s="17"/>
      <c r="H116" s="17"/>
      <c r="I116" s="17"/>
    </row>
    <row r="117" spans="2:9" x14ac:dyDescent="0.25">
      <c r="B117" s="17" t="s">
        <v>198</v>
      </c>
      <c r="C117" s="17" t="s">
        <v>250</v>
      </c>
      <c r="D117" s="17"/>
      <c r="E117" s="17">
        <v>0.13800000000000001</v>
      </c>
      <c r="F117" s="17">
        <v>2</v>
      </c>
      <c r="G117" s="17">
        <v>0.13600000000000001</v>
      </c>
      <c r="H117" s="17">
        <v>3.0000000000000001E-3</v>
      </c>
      <c r="I117" s="17">
        <v>2.2930000000000001</v>
      </c>
    </row>
    <row r="118" spans="2:9" x14ac:dyDescent="0.25">
      <c r="B118" s="17"/>
      <c r="C118" s="17" t="s">
        <v>251</v>
      </c>
      <c r="D118" s="17"/>
      <c r="E118" s="17">
        <v>0.13400000000000001</v>
      </c>
      <c r="F118" s="17"/>
      <c r="G118" s="17"/>
      <c r="H118" s="17"/>
      <c r="I118" s="17"/>
    </row>
    <row r="119" spans="2:9" x14ac:dyDescent="0.25">
      <c r="B119" s="17" t="s">
        <v>204</v>
      </c>
      <c r="C119" s="17" t="s">
        <v>252</v>
      </c>
      <c r="D119" s="17"/>
      <c r="E119" s="17">
        <v>0.13400000000000001</v>
      </c>
      <c r="F119" s="17">
        <v>2</v>
      </c>
      <c r="G119" s="17">
        <v>0.13600000000000001</v>
      </c>
      <c r="H119" s="17">
        <v>3.0000000000000001E-3</v>
      </c>
      <c r="I119" s="17">
        <v>1.8759999999999999</v>
      </c>
    </row>
    <row r="120" spans="2:9" x14ac:dyDescent="0.25">
      <c r="B120" s="17"/>
      <c r="C120" s="17" t="s">
        <v>253</v>
      </c>
      <c r="D120" s="17"/>
      <c r="E120" s="17">
        <v>0.13800000000000001</v>
      </c>
      <c r="F120" s="17"/>
      <c r="G120" s="17"/>
      <c r="H120" s="17"/>
      <c r="I120" s="17"/>
    </row>
    <row r="121" spans="2:9" x14ac:dyDescent="0.25">
      <c r="B121" s="17" t="s">
        <v>210</v>
      </c>
      <c r="C121" s="17" t="s">
        <v>254</v>
      </c>
      <c r="D121" s="17"/>
      <c r="E121" s="17">
        <v>8.5000000000000006E-2</v>
      </c>
      <c r="F121" s="17">
        <v>2</v>
      </c>
      <c r="G121" s="17">
        <v>8.8999999999999996E-2</v>
      </c>
      <c r="H121" s="17">
        <v>6.0000000000000001E-3</v>
      </c>
      <c r="I121" s="17">
        <v>6.742</v>
      </c>
    </row>
    <row r="122" spans="2:9" x14ac:dyDescent="0.25">
      <c r="B122" s="17"/>
      <c r="C122" s="17" t="s">
        <v>255</v>
      </c>
      <c r="D122" s="17"/>
      <c r="E122" s="17">
        <v>9.2999999999999999E-2</v>
      </c>
      <c r="F122" s="17"/>
      <c r="G122" s="17"/>
      <c r="H122" s="17"/>
      <c r="I122" s="17"/>
    </row>
    <row r="123" spans="2:9" x14ac:dyDescent="0.25">
      <c r="B123" s="17" t="s">
        <v>216</v>
      </c>
      <c r="C123" s="17" t="s">
        <v>256</v>
      </c>
      <c r="D123" s="17"/>
      <c r="E123" s="17">
        <v>0.114</v>
      </c>
      <c r="F123" s="17">
        <v>2</v>
      </c>
      <c r="G123" s="17">
        <v>0.122</v>
      </c>
      <c r="H123" s="17">
        <v>1.2E-2</v>
      </c>
      <c r="I123" s="17">
        <v>9.6829999999999998</v>
      </c>
    </row>
    <row r="124" spans="2:9" x14ac:dyDescent="0.25">
      <c r="B124" s="17"/>
      <c r="C124" s="17" t="s">
        <v>257</v>
      </c>
      <c r="D124" s="17"/>
      <c r="E124" s="17">
        <v>0.13</v>
      </c>
      <c r="F124" s="17"/>
      <c r="G124" s="17"/>
      <c r="H124" s="17"/>
      <c r="I124" s="17"/>
    </row>
    <row r="125" spans="2:9" x14ac:dyDescent="0.25">
      <c r="B125" s="17" t="s">
        <v>199</v>
      </c>
      <c r="C125" s="17" t="s">
        <v>258</v>
      </c>
      <c r="D125" s="17"/>
      <c r="E125" s="17">
        <v>4.3999999999999997E-2</v>
      </c>
      <c r="F125" s="17">
        <v>2</v>
      </c>
      <c r="G125" s="17">
        <v>4.3999999999999997E-2</v>
      </c>
      <c r="H125" s="17">
        <v>0</v>
      </c>
      <c r="I125" s="17">
        <v>0.32400000000000001</v>
      </c>
    </row>
    <row r="126" spans="2:9" x14ac:dyDescent="0.25">
      <c r="B126" s="17"/>
      <c r="C126" s="17" t="s">
        <v>259</v>
      </c>
      <c r="D126" s="17"/>
      <c r="E126" s="17">
        <v>4.2999999999999997E-2</v>
      </c>
      <c r="F126" s="17"/>
      <c r="G126" s="17"/>
      <c r="H126" s="17"/>
      <c r="I126" s="17"/>
    </row>
    <row r="127" spans="2:9" x14ac:dyDescent="0.25">
      <c r="B127" s="17" t="s">
        <v>205</v>
      </c>
      <c r="C127" s="17" t="s">
        <v>260</v>
      </c>
      <c r="D127" s="17"/>
      <c r="E127" s="17">
        <v>0.06</v>
      </c>
      <c r="F127" s="17">
        <v>2</v>
      </c>
      <c r="G127" s="17">
        <v>6.5000000000000002E-2</v>
      </c>
      <c r="H127" s="17">
        <v>6.0000000000000001E-3</v>
      </c>
      <c r="I127" s="17">
        <v>8.99</v>
      </c>
    </row>
    <row r="128" spans="2:9" x14ac:dyDescent="0.25">
      <c r="B128" s="17"/>
      <c r="C128" s="17" t="s">
        <v>261</v>
      </c>
      <c r="D128" s="17"/>
      <c r="E128" s="17">
        <v>6.9000000000000006E-2</v>
      </c>
      <c r="F128" s="17"/>
      <c r="G128" s="17"/>
      <c r="H128" s="17"/>
      <c r="I128" s="17"/>
    </row>
    <row r="129" spans="2:9" x14ac:dyDescent="0.25">
      <c r="B129" s="17" t="s">
        <v>211</v>
      </c>
      <c r="C129" s="17" t="s">
        <v>262</v>
      </c>
      <c r="D129" s="17"/>
      <c r="E129" s="17">
        <v>7.2999999999999995E-2</v>
      </c>
      <c r="F129" s="17">
        <v>2</v>
      </c>
      <c r="G129" s="17">
        <v>6.8000000000000005E-2</v>
      </c>
      <c r="H129" s="17">
        <v>6.0000000000000001E-3</v>
      </c>
      <c r="I129" s="17">
        <v>9.3309999999999995</v>
      </c>
    </row>
    <row r="130" spans="2:9" x14ac:dyDescent="0.25">
      <c r="B130" s="17"/>
      <c r="C130" s="17" t="s">
        <v>263</v>
      </c>
      <c r="D130" s="17"/>
      <c r="E130" s="17">
        <v>6.4000000000000001E-2</v>
      </c>
      <c r="F130" s="17"/>
      <c r="G130" s="17"/>
      <c r="H130" s="17"/>
      <c r="I130" s="17"/>
    </row>
    <row r="131" spans="2:9" x14ac:dyDescent="0.25">
      <c r="B131" s="17" t="s">
        <v>217</v>
      </c>
      <c r="C131" s="17" t="s">
        <v>264</v>
      </c>
      <c r="D131" s="17"/>
      <c r="E131" s="17">
        <v>4.7E-2</v>
      </c>
      <c r="F131" s="17">
        <v>2</v>
      </c>
      <c r="G131" s="17">
        <v>5.0999999999999997E-2</v>
      </c>
      <c r="H131" s="17">
        <v>5.0000000000000001E-3</v>
      </c>
      <c r="I131" s="17">
        <v>9.2230000000000008</v>
      </c>
    </row>
    <row r="132" spans="2:9" x14ac:dyDescent="0.25">
      <c r="B132" s="17"/>
      <c r="C132" s="17" t="s">
        <v>265</v>
      </c>
      <c r="D132" s="17"/>
      <c r="E132" s="17">
        <v>5.3999999999999999E-2</v>
      </c>
      <c r="F132" s="17"/>
      <c r="G132" s="17"/>
      <c r="H132" s="17"/>
      <c r="I132" s="17"/>
    </row>
    <row r="133" spans="2:9" x14ac:dyDescent="0.25">
      <c r="B133" s="17" t="s">
        <v>98</v>
      </c>
      <c r="C133" s="17" t="s">
        <v>88</v>
      </c>
      <c r="D133" s="17">
        <v>0</v>
      </c>
      <c r="E133" s="17">
        <v>4.3999999999999997E-2</v>
      </c>
      <c r="F133" s="17">
        <v>2</v>
      </c>
      <c r="G133" s="17">
        <v>4.2999999999999997E-2</v>
      </c>
      <c r="H133" s="17">
        <v>0</v>
      </c>
      <c r="I133" s="17">
        <v>0.81599999999999995</v>
      </c>
    </row>
    <row r="134" spans="2:9" x14ac:dyDescent="0.25">
      <c r="B134" s="17"/>
      <c r="C134" s="17" t="s">
        <v>89</v>
      </c>
      <c r="D134" s="17">
        <v>0</v>
      </c>
      <c r="E134" s="17">
        <v>4.2999999999999997E-2</v>
      </c>
      <c r="F134" s="17"/>
      <c r="G134" s="17"/>
      <c r="H134" s="17"/>
      <c r="I134" s="17"/>
    </row>
    <row r="135" spans="2:9" x14ac:dyDescent="0.25">
      <c r="B135" s="17" t="s">
        <v>43</v>
      </c>
      <c r="C135" s="17" t="s">
        <v>91</v>
      </c>
      <c r="D135" s="17">
        <v>12.5</v>
      </c>
      <c r="E135" s="17">
        <v>5.5E-2</v>
      </c>
      <c r="F135" s="17">
        <v>2</v>
      </c>
      <c r="G135" s="17">
        <v>5.7000000000000002E-2</v>
      </c>
      <c r="H135" s="17">
        <v>3.0000000000000001E-3</v>
      </c>
      <c r="I135" s="17">
        <v>5.6959999999999997</v>
      </c>
    </row>
    <row r="136" spans="2:9" x14ac:dyDescent="0.25">
      <c r="B136" s="17"/>
      <c r="C136" s="17" t="s">
        <v>90</v>
      </c>
      <c r="D136" s="17">
        <v>12.5</v>
      </c>
      <c r="E136" s="17">
        <v>5.8999999999999997E-2</v>
      </c>
      <c r="F136" s="17"/>
      <c r="G136" s="17"/>
      <c r="H136" s="17"/>
      <c r="I136" s="17"/>
    </row>
    <row r="137" spans="2:9" x14ac:dyDescent="0.25">
      <c r="B137" s="17" t="s">
        <v>49</v>
      </c>
      <c r="C137" s="17" t="s">
        <v>92</v>
      </c>
      <c r="D137" s="17">
        <v>50</v>
      </c>
      <c r="E137" s="17">
        <v>9.2999999999999999E-2</v>
      </c>
      <c r="F137" s="17">
        <v>2</v>
      </c>
      <c r="G137" s="17">
        <v>9.4E-2</v>
      </c>
      <c r="H137" s="17">
        <v>2E-3</v>
      </c>
      <c r="I137" s="17">
        <v>2.1709999999999998</v>
      </c>
    </row>
    <row r="138" spans="2:9" x14ac:dyDescent="0.25">
      <c r="B138" s="17"/>
      <c r="C138" s="17" t="s">
        <v>93</v>
      </c>
      <c r="D138" s="17">
        <v>50</v>
      </c>
      <c r="E138" s="17">
        <v>9.6000000000000002E-2</v>
      </c>
      <c r="F138" s="17"/>
      <c r="G138" s="17"/>
      <c r="H138" s="17"/>
      <c r="I138" s="17"/>
    </row>
    <row r="139" spans="2:9" x14ac:dyDescent="0.25">
      <c r="B139" s="17" t="s">
        <v>102</v>
      </c>
      <c r="C139" s="17" t="s">
        <v>94</v>
      </c>
      <c r="D139" s="17">
        <v>100</v>
      </c>
      <c r="E139" s="17">
        <v>0.155</v>
      </c>
      <c r="F139" s="17">
        <v>2</v>
      </c>
      <c r="G139" s="17">
        <v>0.152</v>
      </c>
      <c r="H139" s="17">
        <v>5.0000000000000001E-3</v>
      </c>
      <c r="I139" s="17">
        <v>3.3130000000000002</v>
      </c>
    </row>
    <row r="140" spans="2:9" x14ac:dyDescent="0.25">
      <c r="B140" s="17"/>
      <c r="C140" s="17" t="s">
        <v>95</v>
      </c>
      <c r="D140" s="17">
        <v>100</v>
      </c>
      <c r="E140" s="17">
        <v>0.14799999999999999</v>
      </c>
      <c r="F140" s="17"/>
      <c r="G140" s="17"/>
      <c r="H140" s="17"/>
      <c r="I140" s="17"/>
    </row>
    <row r="141" spans="2:9" x14ac:dyDescent="0.25">
      <c r="B141" s="17" t="s">
        <v>55</v>
      </c>
      <c r="C141" s="17" t="s">
        <v>66</v>
      </c>
      <c r="D141" s="17">
        <v>150</v>
      </c>
      <c r="E141" s="17">
        <v>0.16800000000000001</v>
      </c>
      <c r="F141" s="17">
        <v>2</v>
      </c>
      <c r="G141" s="17">
        <v>0.184</v>
      </c>
      <c r="H141" s="17">
        <v>2.1999999999999999E-2</v>
      </c>
      <c r="I141" s="17">
        <v>12.025</v>
      </c>
    </row>
    <row r="142" spans="2:9" x14ac:dyDescent="0.25">
      <c r="B142" s="17"/>
      <c r="C142" s="17" t="s">
        <v>67</v>
      </c>
      <c r="D142" s="17">
        <v>150</v>
      </c>
      <c r="E142" s="17">
        <v>0.2</v>
      </c>
      <c r="F142" s="17"/>
      <c r="G142" s="17"/>
      <c r="H142" s="17"/>
      <c r="I142" s="17"/>
    </row>
    <row r="143" spans="2:9" x14ac:dyDescent="0.25">
      <c r="B143" s="17" t="s">
        <v>134</v>
      </c>
      <c r="C143" s="17" t="s">
        <v>68</v>
      </c>
      <c r="D143" s="17">
        <v>200</v>
      </c>
      <c r="E143" s="17">
        <v>0.22700000000000001</v>
      </c>
      <c r="F143" s="17">
        <v>2</v>
      </c>
      <c r="G143" s="17">
        <v>0.23499999999999999</v>
      </c>
      <c r="H143" s="17">
        <v>0.01</v>
      </c>
      <c r="I143" s="17">
        <v>4.4320000000000004</v>
      </c>
    </row>
    <row r="144" spans="2:9" x14ac:dyDescent="0.25">
      <c r="B144" s="17"/>
      <c r="C144" s="17" t="s">
        <v>69</v>
      </c>
      <c r="D144" s="17">
        <v>200</v>
      </c>
      <c r="E144" s="17">
        <v>0.24199999999999999</v>
      </c>
      <c r="F144" s="17"/>
      <c r="G144" s="17"/>
      <c r="H144" s="17"/>
      <c r="I144" s="17"/>
    </row>
    <row r="146" spans="1:2" x14ac:dyDescent="0.25">
      <c r="A146" s="4" t="s">
        <v>104</v>
      </c>
      <c r="B146" s="5"/>
    </row>
    <row r="181" spans="1:10" ht="26.4" x14ac:dyDescent="0.25">
      <c r="A181" s="4" t="s">
        <v>105</v>
      </c>
      <c r="B181" s="5"/>
    </row>
    <row r="183" spans="1:10" ht="26.4" x14ac:dyDescent="0.25">
      <c r="B183" s="7" t="s">
        <v>106</v>
      </c>
      <c r="C183" s="7" t="s">
        <v>107</v>
      </c>
      <c r="D183" s="7" t="s">
        <v>35</v>
      </c>
      <c r="E183" s="7" t="s">
        <v>41</v>
      </c>
      <c r="F183" s="7" t="s">
        <v>108</v>
      </c>
      <c r="G183" s="7" t="s">
        <v>109</v>
      </c>
    </row>
    <row r="184" spans="1:10" x14ac:dyDescent="0.25">
      <c r="B184" s="17" t="s">
        <v>104</v>
      </c>
      <c r="C184" s="17" t="s">
        <v>110</v>
      </c>
      <c r="D184" s="17">
        <v>9.4799999999999995E-4</v>
      </c>
      <c r="E184" s="17">
        <v>4.65E-2</v>
      </c>
      <c r="F184" s="17">
        <v>0.995</v>
      </c>
      <c r="G184" s="17" t="s">
        <v>99</v>
      </c>
    </row>
    <row r="186" spans="1:10" x14ac:dyDescent="0.25">
      <c r="A186" s="4" t="s">
        <v>111</v>
      </c>
      <c r="B186" s="5"/>
    </row>
    <row r="187" spans="1:10" x14ac:dyDescent="0.25">
      <c r="A187" s="1" t="s">
        <v>59</v>
      </c>
      <c r="B187" s="1">
        <v>26.2</v>
      </c>
    </row>
    <row r="189" spans="1:10" ht="26.4" x14ac:dyDescent="0.25">
      <c r="B189" s="7" t="s">
        <v>39</v>
      </c>
      <c r="C189" s="7" t="s">
        <v>60</v>
      </c>
      <c r="D189" s="7" t="s">
        <v>40</v>
      </c>
      <c r="E189" s="7">
        <v>500</v>
      </c>
      <c r="F189" s="7" t="s">
        <v>111</v>
      </c>
      <c r="G189" s="7" t="s">
        <v>61</v>
      </c>
      <c r="H189" s="7" t="s">
        <v>4</v>
      </c>
      <c r="I189" s="7" t="s">
        <v>62</v>
      </c>
      <c r="J189" s="7" t="s">
        <v>63</v>
      </c>
    </row>
    <row r="190" spans="1:10" x14ac:dyDescent="0.25">
      <c r="B190" s="17" t="s">
        <v>36</v>
      </c>
      <c r="C190" s="17" t="s">
        <v>64</v>
      </c>
      <c r="D190" s="17"/>
      <c r="E190" s="17">
        <v>4.2000000000000003E-2</v>
      </c>
      <c r="F190" s="17" t="s">
        <v>112</v>
      </c>
      <c r="G190" s="17">
        <v>0</v>
      </c>
      <c r="H190" s="17" t="s">
        <v>99</v>
      </c>
      <c r="I190" s="17" t="s">
        <v>99</v>
      </c>
      <c r="J190" s="17" t="s">
        <v>99</v>
      </c>
    </row>
    <row r="191" spans="1:10" x14ac:dyDescent="0.25">
      <c r="B191" s="17"/>
      <c r="C191" s="17" t="s">
        <v>65</v>
      </c>
      <c r="D191" s="17"/>
      <c r="E191" s="17">
        <v>4.4999999999999998E-2</v>
      </c>
      <c r="F191" s="17" t="s">
        <v>112</v>
      </c>
      <c r="G191" s="17"/>
      <c r="H191" s="17"/>
      <c r="I191" s="17"/>
      <c r="J191" s="17"/>
    </row>
    <row r="192" spans="1:10" x14ac:dyDescent="0.25">
      <c r="B192" s="17" t="s">
        <v>44</v>
      </c>
      <c r="C192" s="17" t="s">
        <v>70</v>
      </c>
      <c r="D192" s="17"/>
      <c r="E192" s="17">
        <v>0.161</v>
      </c>
      <c r="F192" s="17">
        <v>120.625</v>
      </c>
      <c r="G192" s="17">
        <v>2</v>
      </c>
      <c r="H192" s="17">
        <v>124.474</v>
      </c>
      <c r="I192" s="17">
        <v>5.4429999999999996</v>
      </c>
      <c r="J192" s="17">
        <v>4.3730000000000002</v>
      </c>
    </row>
    <row r="193" spans="2:10" x14ac:dyDescent="0.25">
      <c r="B193" s="17"/>
      <c r="C193" s="17" t="s">
        <v>71</v>
      </c>
      <c r="D193" s="17"/>
      <c r="E193" s="17">
        <v>0.16800000000000001</v>
      </c>
      <c r="F193" s="17">
        <v>128.32300000000001</v>
      </c>
      <c r="G193" s="17"/>
      <c r="H193" s="17"/>
      <c r="I193" s="17"/>
      <c r="J193" s="17"/>
    </row>
    <row r="194" spans="2:10" x14ac:dyDescent="0.25">
      <c r="B194" s="17" t="s">
        <v>50</v>
      </c>
      <c r="C194" s="17" t="s">
        <v>72</v>
      </c>
      <c r="D194" s="17"/>
      <c r="E194" s="17">
        <v>0.14599999999999999</v>
      </c>
      <c r="F194" s="17">
        <v>104.598</v>
      </c>
      <c r="G194" s="17">
        <v>2</v>
      </c>
      <c r="H194" s="17">
        <v>111.557</v>
      </c>
      <c r="I194" s="17">
        <v>9.8420000000000005</v>
      </c>
      <c r="J194" s="17">
        <v>8.8219999999999992</v>
      </c>
    </row>
    <row r="195" spans="2:10" x14ac:dyDescent="0.25">
      <c r="B195" s="17"/>
      <c r="C195" s="17" t="s">
        <v>73</v>
      </c>
      <c r="D195" s="17"/>
      <c r="E195" s="17">
        <v>0.159</v>
      </c>
      <c r="F195" s="17">
        <v>118.517</v>
      </c>
      <c r="G195" s="17"/>
      <c r="H195" s="17"/>
      <c r="I195" s="17"/>
      <c r="J195" s="17"/>
    </row>
    <row r="196" spans="2:10" x14ac:dyDescent="0.25">
      <c r="B196" s="17" t="s">
        <v>56</v>
      </c>
      <c r="C196" s="17" t="s">
        <v>74</v>
      </c>
      <c r="D196" s="17"/>
      <c r="E196" s="17">
        <v>0.109</v>
      </c>
      <c r="F196" s="17">
        <v>65.373999999999995</v>
      </c>
      <c r="G196" s="17">
        <v>2</v>
      </c>
      <c r="H196" s="17">
        <v>53.09</v>
      </c>
      <c r="I196" s="17">
        <v>17.372</v>
      </c>
      <c r="J196" s="17">
        <v>32.722000000000001</v>
      </c>
    </row>
    <row r="197" spans="2:10" x14ac:dyDescent="0.25">
      <c r="B197" s="17"/>
      <c r="C197" s="17" t="s">
        <v>75</v>
      </c>
      <c r="D197" s="17"/>
      <c r="E197" s="17">
        <v>8.5000000000000006E-2</v>
      </c>
      <c r="F197" s="17">
        <v>40.805999999999997</v>
      </c>
      <c r="G197" s="17"/>
      <c r="H197" s="17"/>
      <c r="I197" s="17"/>
      <c r="J197" s="17"/>
    </row>
    <row r="198" spans="2:10" x14ac:dyDescent="0.25">
      <c r="B198" s="17" t="s">
        <v>37</v>
      </c>
      <c r="C198" s="17" t="s">
        <v>76</v>
      </c>
      <c r="D198" s="17"/>
      <c r="E198" s="17">
        <v>0.122</v>
      </c>
      <c r="F198" s="17">
        <v>79.186999999999998</v>
      </c>
      <c r="G198" s="17">
        <v>2</v>
      </c>
      <c r="H198" s="17">
        <v>77.869</v>
      </c>
      <c r="I198" s="17">
        <v>1.8640000000000001</v>
      </c>
      <c r="J198" s="17">
        <v>2.3940000000000001</v>
      </c>
    </row>
    <row r="199" spans="2:10" x14ac:dyDescent="0.25">
      <c r="B199" s="17"/>
      <c r="C199" s="17" t="s">
        <v>77</v>
      </c>
      <c r="D199" s="17"/>
      <c r="E199" s="17">
        <v>0.11899999999999999</v>
      </c>
      <c r="F199" s="17">
        <v>76.551000000000002</v>
      </c>
      <c r="G199" s="17"/>
      <c r="H199" s="17"/>
      <c r="I199" s="17"/>
      <c r="J199" s="17"/>
    </row>
    <row r="200" spans="2:10" x14ac:dyDescent="0.25">
      <c r="B200" s="17" t="s">
        <v>45</v>
      </c>
      <c r="C200" s="17" t="s">
        <v>78</v>
      </c>
      <c r="D200" s="17"/>
      <c r="E200" s="17">
        <v>0.09</v>
      </c>
      <c r="F200" s="17">
        <v>46.289000000000001</v>
      </c>
      <c r="G200" s="17">
        <v>2</v>
      </c>
      <c r="H200" s="17">
        <v>49.347000000000001</v>
      </c>
      <c r="I200" s="17">
        <v>4.3239999999999998</v>
      </c>
      <c r="J200" s="17">
        <v>8.7629999999999999</v>
      </c>
    </row>
    <row r="201" spans="2:10" x14ac:dyDescent="0.25">
      <c r="B201" s="17"/>
      <c r="C201" s="17" t="s">
        <v>79</v>
      </c>
      <c r="D201" s="17"/>
      <c r="E201" s="17">
        <v>9.6000000000000002E-2</v>
      </c>
      <c r="F201" s="17">
        <v>52.405000000000001</v>
      </c>
      <c r="G201" s="17"/>
      <c r="H201" s="17"/>
      <c r="I201" s="17"/>
      <c r="J201" s="17"/>
    </row>
    <row r="202" spans="2:10" x14ac:dyDescent="0.25">
      <c r="B202" s="17" t="s">
        <v>51</v>
      </c>
      <c r="C202" s="17" t="s">
        <v>80</v>
      </c>
      <c r="D202" s="17"/>
      <c r="E202" s="17">
        <v>0.19800000000000001</v>
      </c>
      <c r="F202" s="17">
        <v>159.95500000000001</v>
      </c>
      <c r="G202" s="17">
        <v>2</v>
      </c>
      <c r="H202" s="17">
        <v>158.584</v>
      </c>
      <c r="I202" s="17">
        <v>1.9390000000000001</v>
      </c>
      <c r="J202" s="17">
        <v>1.222</v>
      </c>
    </row>
    <row r="203" spans="2:10" x14ac:dyDescent="0.25">
      <c r="B203" s="17"/>
      <c r="C203" s="17" t="s">
        <v>81</v>
      </c>
      <c r="D203" s="17"/>
      <c r="E203" s="17">
        <v>0.19600000000000001</v>
      </c>
      <c r="F203" s="17">
        <v>157.214</v>
      </c>
      <c r="G203" s="17"/>
      <c r="H203" s="17"/>
      <c r="I203" s="17"/>
      <c r="J203" s="17"/>
    </row>
    <row r="204" spans="2:10" x14ac:dyDescent="0.25">
      <c r="B204" s="17" t="s">
        <v>57</v>
      </c>
      <c r="C204" s="17" t="s">
        <v>82</v>
      </c>
      <c r="D204" s="17"/>
      <c r="E204" s="17">
        <v>8.4000000000000005E-2</v>
      </c>
      <c r="F204" s="17">
        <v>39.223999999999997</v>
      </c>
      <c r="G204" s="17">
        <v>2</v>
      </c>
      <c r="H204" s="17">
        <v>44.866</v>
      </c>
      <c r="I204" s="17">
        <v>7.9779999999999998</v>
      </c>
      <c r="J204" s="17">
        <v>17.780999999999999</v>
      </c>
    </row>
    <row r="205" spans="2:10" x14ac:dyDescent="0.25">
      <c r="B205" s="17"/>
      <c r="C205" s="17" t="s">
        <v>83</v>
      </c>
      <c r="D205" s="17"/>
      <c r="E205" s="17">
        <v>9.4E-2</v>
      </c>
      <c r="F205" s="17">
        <v>50.506999999999998</v>
      </c>
      <c r="G205" s="17"/>
      <c r="H205" s="17"/>
      <c r="I205" s="17"/>
      <c r="J205" s="17"/>
    </row>
    <row r="206" spans="2:10" x14ac:dyDescent="0.25">
      <c r="B206" s="17" t="s">
        <v>38</v>
      </c>
      <c r="C206" s="17" t="s">
        <v>84</v>
      </c>
      <c r="D206" s="17"/>
      <c r="E206" s="17">
        <v>0.11700000000000001</v>
      </c>
      <c r="F206" s="17">
        <v>74.864000000000004</v>
      </c>
      <c r="G206" s="17">
        <v>2</v>
      </c>
      <c r="H206" s="17">
        <v>77.341999999999999</v>
      </c>
      <c r="I206" s="17">
        <v>3.504</v>
      </c>
      <c r="J206" s="17">
        <v>4.5309999999999997</v>
      </c>
    </row>
    <row r="207" spans="2:10" x14ac:dyDescent="0.25">
      <c r="B207" s="17"/>
      <c r="C207" s="17" t="s">
        <v>85</v>
      </c>
      <c r="D207" s="17"/>
      <c r="E207" s="17">
        <v>0.122</v>
      </c>
      <c r="F207" s="17">
        <v>79.819000000000003</v>
      </c>
      <c r="G207" s="17"/>
      <c r="H207" s="17"/>
      <c r="I207" s="17"/>
      <c r="J207" s="17"/>
    </row>
    <row r="208" spans="2:10" x14ac:dyDescent="0.25">
      <c r="B208" s="17" t="s">
        <v>46</v>
      </c>
      <c r="C208" s="17" t="s">
        <v>86</v>
      </c>
      <c r="D208" s="17"/>
      <c r="E208" s="17">
        <v>0.129</v>
      </c>
      <c r="F208" s="17">
        <v>86.567999999999998</v>
      </c>
      <c r="G208" s="17">
        <v>2</v>
      </c>
      <c r="H208" s="17">
        <v>93.738</v>
      </c>
      <c r="I208" s="17">
        <v>10.14</v>
      </c>
      <c r="J208" s="17">
        <v>10.817</v>
      </c>
    </row>
    <row r="209" spans="2:10" x14ac:dyDescent="0.25">
      <c r="B209" s="17"/>
      <c r="C209" s="17" t="s">
        <v>87</v>
      </c>
      <c r="D209" s="17"/>
      <c r="E209" s="17">
        <v>0.14199999999999999</v>
      </c>
      <c r="F209" s="17">
        <v>100.908</v>
      </c>
      <c r="G209" s="17"/>
      <c r="H209" s="17"/>
      <c r="I209" s="17"/>
      <c r="J209" s="17"/>
    </row>
    <row r="210" spans="2:10" x14ac:dyDescent="0.25">
      <c r="B210" s="17" t="s">
        <v>52</v>
      </c>
      <c r="C210" s="17" t="s">
        <v>139</v>
      </c>
      <c r="D210" s="17"/>
      <c r="E210" s="17">
        <v>0.115</v>
      </c>
      <c r="F210" s="17">
        <v>71.7</v>
      </c>
      <c r="G210" s="17">
        <v>2</v>
      </c>
      <c r="H210" s="17">
        <v>68.537000000000006</v>
      </c>
      <c r="I210" s="17">
        <v>4.4740000000000002</v>
      </c>
      <c r="J210" s="17">
        <v>6.5270000000000001</v>
      </c>
    </row>
    <row r="211" spans="2:10" x14ac:dyDescent="0.25">
      <c r="B211" s="17"/>
      <c r="C211" s="17" t="s">
        <v>140</v>
      </c>
      <c r="D211" s="17"/>
      <c r="E211" s="17">
        <v>0.109</v>
      </c>
      <c r="F211" s="17">
        <v>65.373999999999995</v>
      </c>
      <c r="G211" s="17"/>
      <c r="H211" s="17"/>
      <c r="I211" s="17"/>
      <c r="J211" s="17"/>
    </row>
    <row r="212" spans="2:10" x14ac:dyDescent="0.25">
      <c r="B212" s="17" t="s">
        <v>132</v>
      </c>
      <c r="C212" s="17" t="s">
        <v>141</v>
      </c>
      <c r="D212" s="17"/>
      <c r="E212" s="17">
        <v>0.1</v>
      </c>
      <c r="F212" s="17">
        <v>56.728000000000002</v>
      </c>
      <c r="G212" s="17">
        <v>2</v>
      </c>
      <c r="H212" s="17">
        <v>59.311</v>
      </c>
      <c r="I212" s="17">
        <v>3.653</v>
      </c>
      <c r="J212" s="17">
        <v>6.16</v>
      </c>
    </row>
    <row r="213" spans="2:10" x14ac:dyDescent="0.25">
      <c r="B213" s="17"/>
      <c r="C213" s="17" t="s">
        <v>142</v>
      </c>
      <c r="D213" s="17"/>
      <c r="E213" s="17">
        <v>0.105</v>
      </c>
      <c r="F213" s="17">
        <v>61.893999999999998</v>
      </c>
      <c r="G213" s="17"/>
      <c r="H213" s="17"/>
      <c r="I213" s="17"/>
      <c r="J213" s="17"/>
    </row>
    <row r="214" spans="2:10" x14ac:dyDescent="0.25">
      <c r="B214" s="17" t="s">
        <v>135</v>
      </c>
      <c r="C214" s="17" t="s">
        <v>143</v>
      </c>
      <c r="D214" s="17"/>
      <c r="E214" s="17">
        <v>9.0999999999999998E-2</v>
      </c>
      <c r="F214" s="17">
        <v>47.238</v>
      </c>
      <c r="G214" s="17">
        <v>2</v>
      </c>
      <c r="H214" s="17">
        <v>49.927</v>
      </c>
      <c r="I214" s="17">
        <v>3.802</v>
      </c>
      <c r="J214" s="17">
        <v>7.6159999999999997</v>
      </c>
    </row>
    <row r="215" spans="2:10" x14ac:dyDescent="0.25">
      <c r="B215" s="17"/>
      <c r="C215" s="17" t="s">
        <v>144</v>
      </c>
      <c r="D215" s="17"/>
      <c r="E215" s="17">
        <v>9.6000000000000002E-2</v>
      </c>
      <c r="F215" s="17">
        <v>52.616</v>
      </c>
      <c r="G215" s="17"/>
      <c r="H215" s="17"/>
      <c r="I215" s="17"/>
      <c r="J215" s="17"/>
    </row>
    <row r="216" spans="2:10" x14ac:dyDescent="0.25">
      <c r="B216" s="17" t="s">
        <v>137</v>
      </c>
      <c r="C216" s="17" t="s">
        <v>145</v>
      </c>
      <c r="D216" s="17"/>
      <c r="E216" s="17">
        <v>0.14099999999999999</v>
      </c>
      <c r="F216" s="17">
        <v>99.852999999999994</v>
      </c>
      <c r="G216" s="17">
        <v>2</v>
      </c>
      <c r="H216" s="17">
        <v>88.728999999999999</v>
      </c>
      <c r="I216" s="17">
        <v>15.731999999999999</v>
      </c>
      <c r="J216" s="17">
        <v>17.73</v>
      </c>
    </row>
    <row r="217" spans="2:10" x14ac:dyDescent="0.25">
      <c r="B217" s="17"/>
      <c r="C217" s="17" t="s">
        <v>146</v>
      </c>
      <c r="D217" s="17"/>
      <c r="E217" s="17">
        <v>0.12</v>
      </c>
      <c r="F217" s="17">
        <v>77.605000000000004</v>
      </c>
      <c r="G217" s="17"/>
      <c r="H217" s="17"/>
      <c r="I217" s="17"/>
      <c r="J217" s="17"/>
    </row>
    <row r="218" spans="2:10" x14ac:dyDescent="0.25">
      <c r="B218" s="17" t="s">
        <v>131</v>
      </c>
      <c r="C218" s="17" t="s">
        <v>147</v>
      </c>
      <c r="D218" s="17"/>
      <c r="E218" s="17">
        <v>0.14699999999999999</v>
      </c>
      <c r="F218" s="17">
        <v>106.074</v>
      </c>
      <c r="G218" s="17">
        <v>2</v>
      </c>
      <c r="H218" s="17">
        <v>118.675</v>
      </c>
      <c r="I218" s="17">
        <v>17.818999999999999</v>
      </c>
      <c r="J218" s="17">
        <v>15.015000000000001</v>
      </c>
    </row>
    <row r="219" spans="2:10" x14ac:dyDescent="0.25">
      <c r="B219" s="17"/>
      <c r="C219" s="17" t="s">
        <v>148</v>
      </c>
      <c r="D219" s="17"/>
      <c r="E219" s="17">
        <v>0.17100000000000001</v>
      </c>
      <c r="F219" s="17">
        <v>131.27500000000001</v>
      </c>
      <c r="G219" s="17"/>
      <c r="H219" s="17"/>
      <c r="I219" s="17"/>
      <c r="J219" s="17"/>
    </row>
    <row r="220" spans="2:10" x14ac:dyDescent="0.25">
      <c r="B220" s="17" t="s">
        <v>133</v>
      </c>
      <c r="C220" s="17" t="s">
        <v>149</v>
      </c>
      <c r="D220" s="17"/>
      <c r="E220" s="17">
        <v>8.5999999999999993E-2</v>
      </c>
      <c r="F220" s="17">
        <v>41.122</v>
      </c>
      <c r="G220" s="17">
        <v>2</v>
      </c>
      <c r="H220" s="17">
        <v>44.548999999999999</v>
      </c>
      <c r="I220" s="17">
        <v>4.8460000000000001</v>
      </c>
      <c r="J220" s="17">
        <v>10.879</v>
      </c>
    </row>
    <row r="221" spans="2:10" x14ac:dyDescent="0.25">
      <c r="B221" s="17"/>
      <c r="C221" s="17" t="s">
        <v>150</v>
      </c>
      <c r="D221" s="17"/>
      <c r="E221" s="17">
        <v>9.1999999999999998E-2</v>
      </c>
      <c r="F221" s="17">
        <v>47.975999999999999</v>
      </c>
      <c r="G221" s="17"/>
      <c r="H221" s="17"/>
      <c r="I221" s="17"/>
      <c r="J221" s="17"/>
    </row>
    <row r="222" spans="2:10" x14ac:dyDescent="0.25">
      <c r="B222" s="17" t="s">
        <v>136</v>
      </c>
      <c r="C222" s="17" t="s">
        <v>151</v>
      </c>
      <c r="D222" s="17"/>
      <c r="E222" s="17">
        <v>0.158</v>
      </c>
      <c r="F222" s="17">
        <v>117.568</v>
      </c>
      <c r="G222" s="17">
        <v>2</v>
      </c>
      <c r="H222" s="17">
        <v>124.316</v>
      </c>
      <c r="I222" s="17">
        <v>9.5429999999999993</v>
      </c>
      <c r="J222" s="17">
        <v>7.6769999999999996</v>
      </c>
    </row>
    <row r="223" spans="2:10" x14ac:dyDescent="0.25">
      <c r="B223" s="17"/>
      <c r="C223" s="17" t="s">
        <v>152</v>
      </c>
      <c r="D223" s="17"/>
      <c r="E223" s="17">
        <v>0.17100000000000001</v>
      </c>
      <c r="F223" s="17">
        <v>131.06399999999999</v>
      </c>
      <c r="G223" s="17"/>
      <c r="H223" s="17"/>
      <c r="I223" s="17"/>
      <c r="J223" s="17"/>
    </row>
    <row r="224" spans="2:10" x14ac:dyDescent="0.25">
      <c r="B224" s="17" t="s">
        <v>138</v>
      </c>
      <c r="C224" s="17" t="s">
        <v>153</v>
      </c>
      <c r="D224" s="17"/>
      <c r="E224" s="17">
        <v>8.7999999999999995E-2</v>
      </c>
      <c r="F224" s="17">
        <v>43.548000000000002</v>
      </c>
      <c r="G224" s="17">
        <v>2</v>
      </c>
      <c r="H224" s="17">
        <v>45.655999999999999</v>
      </c>
      <c r="I224" s="17">
        <v>2.9820000000000002</v>
      </c>
      <c r="J224" s="17">
        <v>6.532</v>
      </c>
    </row>
    <row r="225" spans="2:10" x14ac:dyDescent="0.25">
      <c r="B225" s="17"/>
      <c r="C225" s="17" t="s">
        <v>154</v>
      </c>
      <c r="D225" s="17"/>
      <c r="E225" s="17">
        <v>9.1999999999999998E-2</v>
      </c>
      <c r="F225" s="17">
        <v>47.765000000000001</v>
      </c>
      <c r="G225" s="17"/>
      <c r="H225" s="17"/>
      <c r="I225" s="17"/>
      <c r="J225" s="17"/>
    </row>
    <row r="226" spans="2:10" x14ac:dyDescent="0.25">
      <c r="B226" s="17" t="s">
        <v>194</v>
      </c>
      <c r="C226" s="17" t="s">
        <v>218</v>
      </c>
      <c r="D226" s="17"/>
      <c r="E226" s="17">
        <v>0.106</v>
      </c>
      <c r="F226" s="17">
        <v>63.16</v>
      </c>
      <c r="G226" s="17">
        <v>2</v>
      </c>
      <c r="H226" s="17">
        <v>66.903000000000006</v>
      </c>
      <c r="I226" s="17">
        <v>5.2939999999999996</v>
      </c>
      <c r="J226" s="17">
        <v>7.9119999999999999</v>
      </c>
    </row>
    <row r="227" spans="2:10" x14ac:dyDescent="0.25">
      <c r="B227" s="17"/>
      <c r="C227" s="17" t="s">
        <v>219</v>
      </c>
      <c r="D227" s="17"/>
      <c r="E227" s="17">
        <v>0.114</v>
      </c>
      <c r="F227" s="17">
        <v>70.646000000000001</v>
      </c>
      <c r="G227" s="17"/>
      <c r="H227" s="17"/>
      <c r="I227" s="17"/>
      <c r="J227" s="17"/>
    </row>
    <row r="228" spans="2:10" x14ac:dyDescent="0.25">
      <c r="B228" s="17" t="s">
        <v>200</v>
      </c>
      <c r="C228" s="17" t="s">
        <v>220</v>
      </c>
      <c r="D228" s="17"/>
      <c r="E228" s="17">
        <v>9.9000000000000005E-2</v>
      </c>
      <c r="F228" s="17">
        <v>55.252000000000002</v>
      </c>
      <c r="G228" s="17">
        <v>2</v>
      </c>
      <c r="H228" s="17">
        <v>56.728000000000002</v>
      </c>
      <c r="I228" s="17">
        <v>2.0880000000000001</v>
      </c>
      <c r="J228" s="17">
        <v>3.68</v>
      </c>
    </row>
    <row r="229" spans="2:10" x14ac:dyDescent="0.25">
      <c r="B229" s="17"/>
      <c r="C229" s="17" t="s">
        <v>221</v>
      </c>
      <c r="D229" s="17"/>
      <c r="E229" s="17">
        <v>0.10199999999999999</v>
      </c>
      <c r="F229" s="17">
        <v>58.204000000000001</v>
      </c>
      <c r="G229" s="17"/>
      <c r="H229" s="17"/>
      <c r="I229" s="17"/>
      <c r="J229" s="17"/>
    </row>
    <row r="230" spans="2:10" x14ac:dyDescent="0.25">
      <c r="B230" s="17" t="s">
        <v>206</v>
      </c>
      <c r="C230" s="17" t="s">
        <v>222</v>
      </c>
      <c r="D230" s="17"/>
      <c r="E230" s="17">
        <v>0.14399999999999999</v>
      </c>
      <c r="F230" s="17">
        <v>103.333</v>
      </c>
      <c r="G230" s="17">
        <v>2</v>
      </c>
      <c r="H230" s="17">
        <v>143.506</v>
      </c>
      <c r="I230" s="17">
        <v>56.814</v>
      </c>
      <c r="J230" s="17">
        <v>39.590000000000003</v>
      </c>
    </row>
    <row r="231" spans="2:10" x14ac:dyDescent="0.25">
      <c r="B231" s="17"/>
      <c r="C231" s="17" t="s">
        <v>223</v>
      </c>
      <c r="D231" s="17"/>
      <c r="E231" s="17">
        <v>0.221</v>
      </c>
      <c r="F231" s="17">
        <v>183.68</v>
      </c>
      <c r="G231" s="17"/>
      <c r="H231" s="17"/>
      <c r="I231" s="17"/>
      <c r="J231" s="17"/>
    </row>
    <row r="232" spans="2:10" x14ac:dyDescent="0.25">
      <c r="B232" s="17" t="s">
        <v>212</v>
      </c>
      <c r="C232" s="17" t="s">
        <v>224</v>
      </c>
      <c r="D232" s="17"/>
      <c r="E232" s="17">
        <v>0.17499999999999999</v>
      </c>
      <c r="F232" s="17">
        <v>135.387</v>
      </c>
      <c r="G232" s="17">
        <v>2</v>
      </c>
      <c r="H232" s="17">
        <v>136.23099999999999</v>
      </c>
      <c r="I232" s="17">
        <v>1.1930000000000001</v>
      </c>
      <c r="J232" s="17">
        <v>0.876</v>
      </c>
    </row>
    <row r="233" spans="2:10" x14ac:dyDescent="0.25">
      <c r="B233" s="17"/>
      <c r="C233" s="17" t="s">
        <v>225</v>
      </c>
      <c r="D233" s="17"/>
      <c r="E233" s="17">
        <v>0.17599999999999999</v>
      </c>
      <c r="F233" s="17">
        <v>137.07400000000001</v>
      </c>
      <c r="G233" s="17"/>
      <c r="H233" s="17"/>
      <c r="I233" s="17"/>
      <c r="J233" s="17"/>
    </row>
    <row r="234" spans="2:10" x14ac:dyDescent="0.25">
      <c r="B234" s="17" t="s">
        <v>195</v>
      </c>
      <c r="C234" s="17" t="s">
        <v>226</v>
      </c>
      <c r="D234" s="17"/>
      <c r="E234" s="17">
        <v>0.152</v>
      </c>
      <c r="F234" s="17">
        <v>110.819</v>
      </c>
      <c r="G234" s="17">
        <v>2</v>
      </c>
      <c r="H234" s="17">
        <v>106.02200000000001</v>
      </c>
      <c r="I234" s="17">
        <v>6.7850000000000001</v>
      </c>
      <c r="J234" s="17">
        <v>6.399</v>
      </c>
    </row>
    <row r="235" spans="2:10" x14ac:dyDescent="0.25">
      <c r="B235" s="17"/>
      <c r="C235" s="17" t="s">
        <v>227</v>
      </c>
      <c r="D235" s="17"/>
      <c r="E235" s="17">
        <v>0.14199999999999999</v>
      </c>
      <c r="F235" s="17">
        <v>101.224</v>
      </c>
      <c r="G235" s="17"/>
      <c r="H235" s="17"/>
      <c r="I235" s="17"/>
      <c r="J235" s="17"/>
    </row>
    <row r="236" spans="2:10" x14ac:dyDescent="0.25">
      <c r="B236" s="17" t="s">
        <v>201</v>
      </c>
      <c r="C236" s="17" t="s">
        <v>228</v>
      </c>
      <c r="D236" s="17"/>
      <c r="E236" s="17">
        <v>0.16200000000000001</v>
      </c>
      <c r="F236" s="17">
        <v>121.996</v>
      </c>
      <c r="G236" s="17">
        <v>2</v>
      </c>
      <c r="H236" s="17">
        <v>124.474</v>
      </c>
      <c r="I236" s="17">
        <v>3.504</v>
      </c>
      <c r="J236" s="17">
        <v>2.8149999999999999</v>
      </c>
    </row>
    <row r="237" spans="2:10" x14ac:dyDescent="0.25">
      <c r="B237" s="17"/>
      <c r="C237" s="17" t="s">
        <v>229</v>
      </c>
      <c r="D237" s="17"/>
      <c r="E237" s="17">
        <v>0.16700000000000001</v>
      </c>
      <c r="F237" s="17">
        <v>126.952</v>
      </c>
      <c r="G237" s="17"/>
      <c r="H237" s="17"/>
      <c r="I237" s="17"/>
      <c r="J237" s="17"/>
    </row>
    <row r="238" spans="2:10" x14ac:dyDescent="0.25">
      <c r="B238" s="17" t="s">
        <v>207</v>
      </c>
      <c r="C238" s="17" t="s">
        <v>230</v>
      </c>
      <c r="D238" s="17"/>
      <c r="E238" s="17">
        <v>0.11799999999999999</v>
      </c>
      <c r="F238" s="17">
        <v>74.968999999999994</v>
      </c>
      <c r="G238" s="17">
        <v>2</v>
      </c>
      <c r="H238" s="17">
        <v>76.075999999999993</v>
      </c>
      <c r="I238" s="17">
        <v>1.5660000000000001</v>
      </c>
      <c r="J238" s="17">
        <v>2.0579999999999998</v>
      </c>
    </row>
    <row r="239" spans="2:10" x14ac:dyDescent="0.25">
      <c r="B239" s="17"/>
      <c r="C239" s="17" t="s">
        <v>231</v>
      </c>
      <c r="D239" s="17"/>
      <c r="E239" s="17">
        <v>0.12</v>
      </c>
      <c r="F239" s="17">
        <v>77.183000000000007</v>
      </c>
      <c r="G239" s="17"/>
      <c r="H239" s="17"/>
      <c r="I239" s="17"/>
      <c r="J239" s="17"/>
    </row>
    <row r="240" spans="2:10" x14ac:dyDescent="0.25">
      <c r="B240" s="17" t="s">
        <v>213</v>
      </c>
      <c r="C240" s="17" t="s">
        <v>232</v>
      </c>
      <c r="D240" s="17"/>
      <c r="E240" s="17">
        <v>6.2E-2</v>
      </c>
      <c r="F240" s="17">
        <v>16.765000000000001</v>
      </c>
      <c r="G240" s="17">
        <v>2</v>
      </c>
      <c r="H240" s="17">
        <v>15.657999999999999</v>
      </c>
      <c r="I240" s="17">
        <v>1.5660000000000001</v>
      </c>
      <c r="J240" s="17">
        <v>9.9990000000000006</v>
      </c>
    </row>
    <row r="241" spans="2:10" x14ac:dyDescent="0.25">
      <c r="B241" s="17"/>
      <c r="C241" s="17" t="s">
        <v>233</v>
      </c>
      <c r="D241" s="17"/>
      <c r="E241" s="17">
        <v>0.06</v>
      </c>
      <c r="F241" s="17">
        <v>14.551</v>
      </c>
      <c r="G241" s="17"/>
      <c r="H241" s="17"/>
      <c r="I241" s="17"/>
      <c r="J241" s="17"/>
    </row>
    <row r="242" spans="2:10" x14ac:dyDescent="0.25">
      <c r="B242" s="17" t="s">
        <v>196</v>
      </c>
      <c r="C242" s="17" t="s">
        <v>234</v>
      </c>
      <c r="D242" s="17"/>
      <c r="E242" s="17">
        <v>9.1999999999999998E-2</v>
      </c>
      <c r="F242" s="17">
        <v>48.292000000000002</v>
      </c>
      <c r="G242" s="17">
        <v>2</v>
      </c>
      <c r="H242" s="17">
        <v>47.185000000000002</v>
      </c>
      <c r="I242" s="17">
        <v>1.5660000000000001</v>
      </c>
      <c r="J242" s="17">
        <v>3.3180000000000001</v>
      </c>
    </row>
    <row r="243" spans="2:10" x14ac:dyDescent="0.25">
      <c r="B243" s="17"/>
      <c r="C243" s="17" t="s">
        <v>235</v>
      </c>
      <c r="D243" s="17"/>
      <c r="E243" s="17">
        <v>0.09</v>
      </c>
      <c r="F243" s="17">
        <v>46.078000000000003</v>
      </c>
      <c r="G243" s="17"/>
      <c r="H243" s="17"/>
      <c r="I243" s="17"/>
      <c r="J243" s="17"/>
    </row>
    <row r="244" spans="2:10" x14ac:dyDescent="0.25">
      <c r="B244" s="17" t="s">
        <v>202</v>
      </c>
      <c r="C244" s="17" t="s">
        <v>236</v>
      </c>
      <c r="D244" s="17"/>
      <c r="E244" s="17">
        <v>8.1000000000000003E-2</v>
      </c>
      <c r="F244" s="17">
        <v>35.956000000000003</v>
      </c>
      <c r="G244" s="17">
        <v>2</v>
      </c>
      <c r="H244" s="17">
        <v>26.308</v>
      </c>
      <c r="I244" s="17">
        <v>13.644</v>
      </c>
      <c r="J244" s="17">
        <v>51.863999999999997</v>
      </c>
    </row>
    <row r="245" spans="2:10" x14ac:dyDescent="0.25">
      <c r="B245" s="17"/>
      <c r="C245" s="17" t="s">
        <v>237</v>
      </c>
      <c r="D245" s="17"/>
      <c r="E245" s="17">
        <v>6.2E-2</v>
      </c>
      <c r="F245" s="17">
        <v>16.66</v>
      </c>
      <c r="G245" s="17"/>
      <c r="H245" s="17"/>
      <c r="I245" s="17"/>
      <c r="J245" s="17"/>
    </row>
    <row r="246" spans="2:10" x14ac:dyDescent="0.25">
      <c r="B246" s="17" t="s">
        <v>208</v>
      </c>
      <c r="C246" s="17" t="s">
        <v>238</v>
      </c>
      <c r="D246" s="17"/>
      <c r="E246" s="17">
        <v>9.0999999999999998E-2</v>
      </c>
      <c r="F246" s="17">
        <v>47.448999999999998</v>
      </c>
      <c r="G246" s="17">
        <v>2</v>
      </c>
      <c r="H246" s="17">
        <v>50.085000000000001</v>
      </c>
      <c r="I246" s="17">
        <v>3.7280000000000002</v>
      </c>
      <c r="J246" s="17">
        <v>7.4429999999999996</v>
      </c>
    </row>
    <row r="247" spans="2:10" x14ac:dyDescent="0.25">
      <c r="B247" s="17"/>
      <c r="C247" s="17" t="s">
        <v>239</v>
      </c>
      <c r="D247" s="17"/>
      <c r="E247" s="17">
        <v>9.7000000000000003E-2</v>
      </c>
      <c r="F247" s="17">
        <v>52.720999999999997</v>
      </c>
      <c r="G247" s="17"/>
      <c r="H247" s="17"/>
      <c r="I247" s="17"/>
      <c r="J247" s="17"/>
    </row>
    <row r="248" spans="2:10" x14ac:dyDescent="0.25">
      <c r="B248" s="17" t="s">
        <v>214</v>
      </c>
      <c r="C248" s="17" t="s">
        <v>240</v>
      </c>
      <c r="D248" s="17"/>
      <c r="E248" s="17">
        <v>0.26500000000000001</v>
      </c>
      <c r="F248" s="17" t="s">
        <v>155</v>
      </c>
      <c r="G248" s="17">
        <v>0</v>
      </c>
      <c r="H248" s="17" t="s">
        <v>99</v>
      </c>
      <c r="I248" s="17" t="s">
        <v>99</v>
      </c>
      <c r="J248" s="17" t="s">
        <v>99</v>
      </c>
    </row>
    <row r="249" spans="2:10" x14ac:dyDescent="0.25">
      <c r="B249" s="17"/>
      <c r="C249" s="17" t="s">
        <v>241</v>
      </c>
      <c r="D249" s="17"/>
      <c r="E249" s="17">
        <v>0.27200000000000002</v>
      </c>
      <c r="F249" s="17" t="s">
        <v>155</v>
      </c>
      <c r="G249" s="17"/>
      <c r="H249" s="17"/>
      <c r="I249" s="17"/>
      <c r="J249" s="17"/>
    </row>
    <row r="250" spans="2:10" x14ac:dyDescent="0.25">
      <c r="B250" s="17" t="s">
        <v>197</v>
      </c>
      <c r="C250" s="17" t="s">
        <v>242</v>
      </c>
      <c r="D250" s="17"/>
      <c r="E250" s="17">
        <v>4.5999999999999999E-2</v>
      </c>
      <c r="F250" s="17" t="s">
        <v>112</v>
      </c>
      <c r="G250" s="17">
        <v>0</v>
      </c>
      <c r="H250" s="17" t="s">
        <v>99</v>
      </c>
      <c r="I250" s="17" t="s">
        <v>99</v>
      </c>
      <c r="J250" s="17" t="s">
        <v>99</v>
      </c>
    </row>
    <row r="251" spans="2:10" x14ac:dyDescent="0.25">
      <c r="B251" s="17"/>
      <c r="C251" s="17" t="s">
        <v>243</v>
      </c>
      <c r="D251" s="17"/>
      <c r="E251" s="17">
        <v>4.2999999999999997E-2</v>
      </c>
      <c r="F251" s="17" t="s">
        <v>112</v>
      </c>
      <c r="G251" s="17"/>
      <c r="H251" s="17"/>
      <c r="I251" s="17"/>
      <c r="J251" s="17"/>
    </row>
    <row r="252" spans="2:10" x14ac:dyDescent="0.25">
      <c r="B252" s="17" t="s">
        <v>203</v>
      </c>
      <c r="C252" s="17" t="s">
        <v>244</v>
      </c>
      <c r="D252" s="17"/>
      <c r="E252" s="17">
        <v>0.19600000000000001</v>
      </c>
      <c r="F252" s="17">
        <v>157.63499999999999</v>
      </c>
      <c r="G252" s="17">
        <v>2</v>
      </c>
      <c r="H252" s="17">
        <v>149.14699999999999</v>
      </c>
      <c r="I252" s="17">
        <v>12.004</v>
      </c>
      <c r="J252" s="17">
        <v>8.048</v>
      </c>
    </row>
    <row r="253" spans="2:10" x14ac:dyDescent="0.25">
      <c r="B253" s="17"/>
      <c r="C253" s="17" t="s">
        <v>245</v>
      </c>
      <c r="D253" s="17"/>
      <c r="E253" s="17">
        <v>0.18</v>
      </c>
      <c r="F253" s="17">
        <v>140.65899999999999</v>
      </c>
      <c r="G253" s="17"/>
      <c r="H253" s="17"/>
      <c r="I253" s="17"/>
      <c r="J253" s="17"/>
    </row>
    <row r="254" spans="2:10" x14ac:dyDescent="0.25">
      <c r="B254" s="17" t="s">
        <v>209</v>
      </c>
      <c r="C254" s="17" t="s">
        <v>246</v>
      </c>
      <c r="D254" s="17"/>
      <c r="E254" s="17">
        <v>0.154</v>
      </c>
      <c r="F254" s="17">
        <v>113.03400000000001</v>
      </c>
      <c r="G254" s="17">
        <v>2</v>
      </c>
      <c r="H254" s="17">
        <v>114.035</v>
      </c>
      <c r="I254" s="17">
        <v>1.417</v>
      </c>
      <c r="J254" s="17">
        <v>1.242</v>
      </c>
    </row>
    <row r="255" spans="2:10" x14ac:dyDescent="0.25">
      <c r="B255" s="17"/>
      <c r="C255" s="17" t="s">
        <v>247</v>
      </c>
      <c r="D255" s="17"/>
      <c r="E255" s="17">
        <v>0.156</v>
      </c>
      <c r="F255" s="17">
        <v>115.03700000000001</v>
      </c>
      <c r="G255" s="17"/>
      <c r="H255" s="17"/>
      <c r="I255" s="17"/>
      <c r="J255" s="17"/>
    </row>
    <row r="256" spans="2:10" x14ac:dyDescent="0.25">
      <c r="B256" s="17" t="s">
        <v>215</v>
      </c>
      <c r="C256" s="17" t="s">
        <v>248</v>
      </c>
      <c r="D256" s="17"/>
      <c r="E256" s="17">
        <v>4.4999999999999998E-2</v>
      </c>
      <c r="F256" s="17" t="s">
        <v>112</v>
      </c>
      <c r="G256" s="17">
        <v>0</v>
      </c>
      <c r="H256" s="17" t="s">
        <v>99</v>
      </c>
      <c r="I256" s="17" t="s">
        <v>99</v>
      </c>
      <c r="J256" s="17" t="s">
        <v>99</v>
      </c>
    </row>
    <row r="257" spans="2:10" x14ac:dyDescent="0.25">
      <c r="B257" s="17"/>
      <c r="C257" s="17" t="s">
        <v>249</v>
      </c>
      <c r="D257" s="17"/>
      <c r="E257" s="17">
        <v>4.5999999999999999E-2</v>
      </c>
      <c r="F257" s="17" t="s">
        <v>112</v>
      </c>
      <c r="G257" s="17"/>
      <c r="H257" s="17"/>
      <c r="I257" s="17"/>
      <c r="J257" s="17"/>
    </row>
    <row r="258" spans="2:10" x14ac:dyDescent="0.25">
      <c r="B258" s="17" t="s">
        <v>198</v>
      </c>
      <c r="C258" s="17" t="s">
        <v>250</v>
      </c>
      <c r="D258" s="17"/>
      <c r="E258" s="17">
        <v>0.13800000000000001</v>
      </c>
      <c r="F258" s="17">
        <v>96.373999999999995</v>
      </c>
      <c r="G258" s="17">
        <v>2</v>
      </c>
      <c r="H258" s="17">
        <v>94.054000000000002</v>
      </c>
      <c r="I258" s="17">
        <v>3.2810000000000001</v>
      </c>
      <c r="J258" s="17">
        <v>3.488</v>
      </c>
    </row>
    <row r="259" spans="2:10" x14ac:dyDescent="0.25">
      <c r="B259" s="17"/>
      <c r="C259" s="17" t="s">
        <v>251</v>
      </c>
      <c r="D259" s="17"/>
      <c r="E259" s="17">
        <v>0.13400000000000001</v>
      </c>
      <c r="F259" s="17">
        <v>91.733999999999995</v>
      </c>
      <c r="G259" s="17"/>
      <c r="H259" s="17"/>
      <c r="I259" s="17"/>
      <c r="J259" s="17"/>
    </row>
    <row r="260" spans="2:10" x14ac:dyDescent="0.25">
      <c r="B260" s="17" t="s">
        <v>204</v>
      </c>
      <c r="C260" s="17" t="s">
        <v>252</v>
      </c>
      <c r="D260" s="17"/>
      <c r="E260" s="17">
        <v>0.13400000000000001</v>
      </c>
      <c r="F260" s="17">
        <v>92.156000000000006</v>
      </c>
      <c r="G260" s="17">
        <v>2</v>
      </c>
      <c r="H260" s="17">
        <v>94.054000000000002</v>
      </c>
      <c r="I260" s="17">
        <v>2.6840000000000002</v>
      </c>
      <c r="J260" s="17">
        <v>2.8540000000000001</v>
      </c>
    </row>
    <row r="261" spans="2:10" x14ac:dyDescent="0.25">
      <c r="B261" s="17"/>
      <c r="C261" s="17" t="s">
        <v>253</v>
      </c>
      <c r="D261" s="17"/>
      <c r="E261" s="17">
        <v>0.13800000000000001</v>
      </c>
      <c r="F261" s="17">
        <v>95.951999999999998</v>
      </c>
      <c r="G261" s="17"/>
      <c r="H261" s="17"/>
      <c r="I261" s="17"/>
      <c r="J261" s="17"/>
    </row>
    <row r="262" spans="2:10" x14ac:dyDescent="0.25">
      <c r="B262" s="17" t="s">
        <v>210</v>
      </c>
      <c r="C262" s="17" t="s">
        <v>254</v>
      </c>
      <c r="D262" s="17"/>
      <c r="E262" s="17">
        <v>8.5000000000000006E-2</v>
      </c>
      <c r="F262" s="17">
        <v>40.49</v>
      </c>
      <c r="G262" s="17">
        <v>2</v>
      </c>
      <c r="H262" s="17">
        <v>44.970999999999997</v>
      </c>
      <c r="I262" s="17">
        <v>6.3369999999999997</v>
      </c>
      <c r="J262" s="17">
        <v>14.092000000000001</v>
      </c>
    </row>
    <row r="263" spans="2:10" x14ac:dyDescent="0.25">
      <c r="B263" s="17"/>
      <c r="C263" s="17" t="s">
        <v>255</v>
      </c>
      <c r="D263" s="17"/>
      <c r="E263" s="17">
        <v>9.2999999999999999E-2</v>
      </c>
      <c r="F263" s="17">
        <v>49.451999999999998</v>
      </c>
      <c r="G263" s="17"/>
      <c r="H263" s="17"/>
      <c r="I263" s="17"/>
      <c r="J263" s="17"/>
    </row>
    <row r="264" spans="2:10" x14ac:dyDescent="0.25">
      <c r="B264" s="17" t="s">
        <v>216</v>
      </c>
      <c r="C264" s="17" t="s">
        <v>256</v>
      </c>
      <c r="D264" s="17"/>
      <c r="E264" s="17">
        <v>0.114</v>
      </c>
      <c r="F264" s="17">
        <v>70.751000000000005</v>
      </c>
      <c r="G264" s="17">
        <v>2</v>
      </c>
      <c r="H264" s="17">
        <v>79.555999999999997</v>
      </c>
      <c r="I264" s="17">
        <v>12.451000000000001</v>
      </c>
      <c r="J264" s="17">
        <v>15.651</v>
      </c>
    </row>
    <row r="265" spans="2:10" x14ac:dyDescent="0.25">
      <c r="B265" s="17"/>
      <c r="C265" s="17" t="s">
        <v>257</v>
      </c>
      <c r="D265" s="17"/>
      <c r="E265" s="17">
        <v>0.13</v>
      </c>
      <c r="F265" s="17">
        <v>88.36</v>
      </c>
      <c r="G265" s="17"/>
      <c r="H265" s="17"/>
      <c r="I265" s="17"/>
      <c r="J265" s="17"/>
    </row>
    <row r="266" spans="2:10" x14ac:dyDescent="0.25">
      <c r="B266" s="17" t="s">
        <v>199</v>
      </c>
      <c r="C266" s="17" t="s">
        <v>258</v>
      </c>
      <c r="D266" s="17"/>
      <c r="E266" s="17">
        <v>4.3999999999999997E-2</v>
      </c>
      <c r="F266" s="17" t="s">
        <v>112</v>
      </c>
      <c r="G266" s="17">
        <v>0</v>
      </c>
      <c r="H266" s="17" t="s">
        <v>99</v>
      </c>
      <c r="I266" s="17" t="s">
        <v>99</v>
      </c>
      <c r="J266" s="17" t="s">
        <v>99</v>
      </c>
    </row>
    <row r="267" spans="2:10" x14ac:dyDescent="0.25">
      <c r="B267" s="17"/>
      <c r="C267" s="17" t="s">
        <v>259</v>
      </c>
      <c r="D267" s="17"/>
      <c r="E267" s="17">
        <v>4.2999999999999997E-2</v>
      </c>
      <c r="F267" s="17" t="s">
        <v>112</v>
      </c>
      <c r="G267" s="17"/>
      <c r="H267" s="17"/>
      <c r="I267" s="17"/>
      <c r="J267" s="17"/>
    </row>
    <row r="268" spans="2:10" x14ac:dyDescent="0.25">
      <c r="B268" s="17" t="s">
        <v>205</v>
      </c>
      <c r="C268" s="17" t="s">
        <v>260</v>
      </c>
      <c r="D268" s="17"/>
      <c r="E268" s="17">
        <v>0.06</v>
      </c>
      <c r="F268" s="17">
        <v>14.657</v>
      </c>
      <c r="G268" s="17">
        <v>2</v>
      </c>
      <c r="H268" s="17">
        <v>18.98</v>
      </c>
      <c r="I268" s="17">
        <v>6.1139999999999999</v>
      </c>
      <c r="J268" s="17">
        <v>32.212000000000003</v>
      </c>
    </row>
    <row r="269" spans="2:10" x14ac:dyDescent="0.25">
      <c r="B269" s="17"/>
      <c r="C269" s="17" t="s">
        <v>261</v>
      </c>
      <c r="D269" s="17"/>
      <c r="E269" s="17">
        <v>6.9000000000000006E-2</v>
      </c>
      <c r="F269" s="17">
        <v>23.303000000000001</v>
      </c>
      <c r="G269" s="17"/>
      <c r="H269" s="17"/>
      <c r="I269" s="17"/>
      <c r="J269" s="17"/>
    </row>
    <row r="270" spans="2:10" x14ac:dyDescent="0.25">
      <c r="B270" s="17" t="s">
        <v>211</v>
      </c>
      <c r="C270" s="17" t="s">
        <v>262</v>
      </c>
      <c r="D270" s="17"/>
      <c r="E270" s="17">
        <v>7.2999999999999995E-2</v>
      </c>
      <c r="F270" s="17">
        <v>27.626000000000001</v>
      </c>
      <c r="G270" s="17">
        <v>2</v>
      </c>
      <c r="H270" s="17">
        <v>22.881</v>
      </c>
      <c r="I270" s="17">
        <v>6.71</v>
      </c>
      <c r="J270" s="17">
        <v>29.327000000000002</v>
      </c>
    </row>
    <row r="271" spans="2:10" x14ac:dyDescent="0.25">
      <c r="B271" s="17"/>
      <c r="C271" s="17" t="s">
        <v>263</v>
      </c>
      <c r="D271" s="17"/>
      <c r="E271" s="17">
        <v>6.4000000000000001E-2</v>
      </c>
      <c r="F271" s="17">
        <v>18.135999999999999</v>
      </c>
      <c r="G271" s="17"/>
      <c r="H271" s="17"/>
      <c r="I271" s="17"/>
      <c r="J271" s="17"/>
    </row>
    <row r="272" spans="2:10" x14ac:dyDescent="0.25">
      <c r="B272" s="17" t="s">
        <v>217</v>
      </c>
      <c r="C272" s="17" t="s">
        <v>264</v>
      </c>
      <c r="D272" s="17"/>
      <c r="E272" s="17">
        <v>4.7E-2</v>
      </c>
      <c r="F272" s="17">
        <v>0.84399999999999997</v>
      </c>
      <c r="G272" s="17">
        <v>2</v>
      </c>
      <c r="H272" s="17">
        <v>4.3230000000000004</v>
      </c>
      <c r="I272" s="17">
        <v>4.9210000000000003</v>
      </c>
      <c r="J272" s="17">
        <v>113.82299999999999</v>
      </c>
    </row>
    <row r="273" spans="1:10" x14ac:dyDescent="0.25">
      <c r="B273" s="17"/>
      <c r="C273" s="17" t="s">
        <v>265</v>
      </c>
      <c r="D273" s="17"/>
      <c r="E273" s="17">
        <v>5.3999999999999999E-2</v>
      </c>
      <c r="F273" s="17">
        <v>7.8029999999999999</v>
      </c>
      <c r="G273" s="17"/>
      <c r="H273" s="17"/>
      <c r="I273" s="17"/>
      <c r="J273" s="17"/>
    </row>
    <row r="274" spans="1:10" x14ac:dyDescent="0.25">
      <c r="B274" s="17" t="s">
        <v>98</v>
      </c>
      <c r="C274" s="17" t="s">
        <v>88</v>
      </c>
      <c r="D274" s="17">
        <v>0</v>
      </c>
      <c r="E274" s="17">
        <v>4.3999999999999997E-2</v>
      </c>
      <c r="F274" s="17" t="s">
        <v>112</v>
      </c>
      <c r="G274" s="17">
        <v>0</v>
      </c>
      <c r="H274" s="17" t="s">
        <v>99</v>
      </c>
      <c r="I274" s="17" t="s">
        <v>99</v>
      </c>
      <c r="J274" s="17" t="s">
        <v>99</v>
      </c>
    </row>
    <row r="275" spans="1:10" x14ac:dyDescent="0.25">
      <c r="B275" s="17"/>
      <c r="C275" s="17" t="s">
        <v>89</v>
      </c>
      <c r="D275" s="17">
        <v>0</v>
      </c>
      <c r="E275" s="17">
        <v>4.2999999999999997E-2</v>
      </c>
      <c r="F275" s="17" t="s">
        <v>112</v>
      </c>
      <c r="G275" s="17"/>
      <c r="H275" s="17"/>
      <c r="I275" s="17"/>
      <c r="J275" s="17"/>
    </row>
    <row r="276" spans="1:10" x14ac:dyDescent="0.25">
      <c r="B276" s="17" t="s">
        <v>43</v>
      </c>
      <c r="C276" s="17" t="s">
        <v>91</v>
      </c>
      <c r="D276" s="17">
        <v>12.5</v>
      </c>
      <c r="E276" s="17">
        <v>5.5E-2</v>
      </c>
      <c r="F276" s="17">
        <v>8.7520000000000007</v>
      </c>
      <c r="G276" s="17">
        <v>2</v>
      </c>
      <c r="H276" s="17">
        <v>11.177</v>
      </c>
      <c r="I276" s="17">
        <v>3.43</v>
      </c>
      <c r="J276" s="17">
        <v>30.684999999999999</v>
      </c>
    </row>
    <row r="277" spans="1:10" x14ac:dyDescent="0.25">
      <c r="B277" s="17"/>
      <c r="C277" s="17" t="s">
        <v>90</v>
      </c>
      <c r="D277" s="17">
        <v>12.5</v>
      </c>
      <c r="E277" s="17">
        <v>5.8999999999999997E-2</v>
      </c>
      <c r="F277" s="17">
        <v>13.602</v>
      </c>
      <c r="G277" s="17"/>
      <c r="H277" s="17"/>
      <c r="I277" s="17"/>
      <c r="J277" s="17"/>
    </row>
    <row r="278" spans="1:10" x14ac:dyDescent="0.25">
      <c r="B278" s="17" t="s">
        <v>49</v>
      </c>
      <c r="C278" s="17" t="s">
        <v>92</v>
      </c>
      <c r="D278" s="17">
        <v>50</v>
      </c>
      <c r="E278" s="17">
        <v>9.2999999999999999E-2</v>
      </c>
      <c r="F278" s="17">
        <v>49.030999999999999</v>
      </c>
      <c r="G278" s="17">
        <v>2</v>
      </c>
      <c r="H278" s="17">
        <v>50.558999999999997</v>
      </c>
      <c r="I278" s="17">
        <v>2.1619999999999999</v>
      </c>
      <c r="J278" s="17">
        <v>4.2770000000000001</v>
      </c>
    </row>
    <row r="279" spans="1:10" x14ac:dyDescent="0.25">
      <c r="B279" s="17"/>
      <c r="C279" s="17" t="s">
        <v>93</v>
      </c>
      <c r="D279" s="17">
        <v>50</v>
      </c>
      <c r="E279" s="17">
        <v>9.6000000000000002E-2</v>
      </c>
      <c r="F279" s="17">
        <v>52.088000000000001</v>
      </c>
      <c r="G279" s="17"/>
      <c r="H279" s="17"/>
      <c r="I279" s="17"/>
      <c r="J279" s="17"/>
    </row>
    <row r="280" spans="1:10" x14ac:dyDescent="0.25">
      <c r="B280" s="17" t="s">
        <v>102</v>
      </c>
      <c r="C280" s="17" t="s">
        <v>94</v>
      </c>
      <c r="D280" s="17">
        <v>100</v>
      </c>
      <c r="E280" s="17">
        <v>0.155</v>
      </c>
      <c r="F280" s="17">
        <v>114.51</v>
      </c>
      <c r="G280" s="17">
        <v>2</v>
      </c>
      <c r="H280" s="17">
        <v>110.767</v>
      </c>
      <c r="I280" s="17">
        <v>5.2939999999999996</v>
      </c>
      <c r="J280" s="17">
        <v>4.7789999999999999</v>
      </c>
    </row>
    <row r="281" spans="1:10" x14ac:dyDescent="0.25">
      <c r="B281" s="17"/>
      <c r="C281" s="17" t="s">
        <v>95</v>
      </c>
      <c r="D281" s="17">
        <v>100</v>
      </c>
      <c r="E281" s="17">
        <v>0.14799999999999999</v>
      </c>
      <c r="F281" s="17">
        <v>107.023</v>
      </c>
      <c r="G281" s="17"/>
      <c r="H281" s="17"/>
      <c r="I281" s="17"/>
      <c r="J281" s="17"/>
    </row>
    <row r="282" spans="1:10" x14ac:dyDescent="0.25">
      <c r="B282" s="17" t="s">
        <v>55</v>
      </c>
      <c r="C282" s="17" t="s">
        <v>66</v>
      </c>
      <c r="D282" s="17">
        <v>150</v>
      </c>
      <c r="E282" s="17">
        <v>0.16800000000000001</v>
      </c>
      <c r="F282" s="17">
        <v>128.53399999999999</v>
      </c>
      <c r="G282" s="17">
        <v>2</v>
      </c>
      <c r="H282" s="17">
        <v>145.035</v>
      </c>
      <c r="I282" s="17">
        <v>23.337</v>
      </c>
      <c r="J282" s="17">
        <v>16.09</v>
      </c>
    </row>
    <row r="283" spans="1:10" x14ac:dyDescent="0.25">
      <c r="B283" s="17"/>
      <c r="C283" s="17" t="s">
        <v>67</v>
      </c>
      <c r="D283" s="17">
        <v>150</v>
      </c>
      <c r="E283" s="17">
        <v>0.2</v>
      </c>
      <c r="F283" s="17">
        <v>161.53700000000001</v>
      </c>
      <c r="G283" s="17"/>
      <c r="H283" s="17"/>
      <c r="I283" s="17"/>
      <c r="J283" s="17"/>
    </row>
    <row r="284" spans="1:10" x14ac:dyDescent="0.25">
      <c r="B284" s="17" t="s">
        <v>134</v>
      </c>
      <c r="C284" s="17" t="s">
        <v>68</v>
      </c>
      <c r="D284" s="17">
        <v>200</v>
      </c>
      <c r="E284" s="17">
        <v>0.22700000000000001</v>
      </c>
      <c r="F284" s="17">
        <v>190.53299999999999</v>
      </c>
      <c r="G284" s="17">
        <v>2</v>
      </c>
      <c r="H284" s="17">
        <v>198.28299999999999</v>
      </c>
      <c r="I284" s="17">
        <v>10.96</v>
      </c>
      <c r="J284" s="17">
        <v>5.5270000000000001</v>
      </c>
    </row>
    <row r="285" spans="1:10" x14ac:dyDescent="0.25">
      <c r="B285" s="17"/>
      <c r="C285" s="17" t="s">
        <v>69</v>
      </c>
      <c r="D285" s="17">
        <v>200</v>
      </c>
      <c r="E285" s="17">
        <v>0.24199999999999999</v>
      </c>
      <c r="F285" s="17">
        <v>206.03299999999999</v>
      </c>
      <c r="G285" s="17"/>
      <c r="H285" s="17"/>
      <c r="I285" s="17"/>
      <c r="J285" s="17"/>
    </row>
    <row r="287" spans="1:10" x14ac:dyDescent="0.25">
      <c r="A287" s="4" t="s">
        <v>266</v>
      </c>
      <c r="B287" s="5"/>
    </row>
    <row r="288" spans="1:10" x14ac:dyDescent="0.25">
      <c r="A288" s="1" t="s">
        <v>59</v>
      </c>
      <c r="B288" s="1">
        <v>26.2</v>
      </c>
    </row>
    <row r="290" spans="2:10" x14ac:dyDescent="0.25">
      <c r="B290" s="7" t="s">
        <v>39</v>
      </c>
      <c r="C290" s="7" t="s">
        <v>60</v>
      </c>
      <c r="D290" s="7" t="s">
        <v>40</v>
      </c>
      <c r="E290" s="7">
        <v>500</v>
      </c>
      <c r="F290" s="7" t="s">
        <v>266</v>
      </c>
      <c r="G290" s="7" t="s">
        <v>61</v>
      </c>
      <c r="H290" s="7" t="s">
        <v>4</v>
      </c>
      <c r="I290" s="7" t="s">
        <v>62</v>
      </c>
      <c r="J290" s="7" t="s">
        <v>63</v>
      </c>
    </row>
    <row r="291" spans="2:10" x14ac:dyDescent="0.25">
      <c r="B291" s="17" t="s">
        <v>36</v>
      </c>
      <c r="C291" s="17" t="s">
        <v>64</v>
      </c>
      <c r="D291" s="17"/>
      <c r="E291" s="17">
        <v>4.2000000000000003E-2</v>
      </c>
      <c r="F291" s="17">
        <v>-1E-3</v>
      </c>
      <c r="G291" s="17">
        <v>2</v>
      </c>
      <c r="H291" s="17">
        <v>0</v>
      </c>
      <c r="I291" s="17">
        <v>2E-3</v>
      </c>
      <c r="J291" s="17" t="s">
        <v>99</v>
      </c>
    </row>
    <row r="292" spans="2:10" x14ac:dyDescent="0.25">
      <c r="B292" s="17"/>
      <c r="C292" s="17" t="s">
        <v>65</v>
      </c>
      <c r="D292" s="17"/>
      <c r="E292" s="17">
        <v>4.4999999999999998E-2</v>
      </c>
      <c r="F292" s="17">
        <v>1E-3</v>
      </c>
      <c r="G292" s="17"/>
      <c r="H292" s="17"/>
      <c r="I292" s="17"/>
      <c r="J292" s="17"/>
    </row>
    <row r="293" spans="2:10" x14ac:dyDescent="0.25">
      <c r="B293" s="17" t="s">
        <v>44</v>
      </c>
      <c r="C293" s="17" t="s">
        <v>70</v>
      </c>
      <c r="D293" s="17"/>
      <c r="E293" s="17">
        <v>0.161</v>
      </c>
      <c r="F293" s="17">
        <v>0.11700000000000001</v>
      </c>
      <c r="G293" s="17">
        <v>2</v>
      </c>
      <c r="H293" s="17">
        <v>0.121</v>
      </c>
      <c r="I293" s="17">
        <v>5.0000000000000001E-3</v>
      </c>
      <c r="J293" s="17">
        <v>4.2679999999999998</v>
      </c>
    </row>
    <row r="294" spans="2:10" x14ac:dyDescent="0.25">
      <c r="B294" s="17"/>
      <c r="C294" s="17" t="s">
        <v>71</v>
      </c>
      <c r="D294" s="17"/>
      <c r="E294" s="17">
        <v>0.16800000000000001</v>
      </c>
      <c r="F294" s="17">
        <v>0.125</v>
      </c>
      <c r="G294" s="17"/>
      <c r="H294" s="17"/>
      <c r="I294" s="17"/>
      <c r="J294" s="17"/>
    </row>
    <row r="295" spans="2:10" x14ac:dyDescent="0.25">
      <c r="B295" s="17" t="s">
        <v>50</v>
      </c>
      <c r="C295" s="17" t="s">
        <v>72</v>
      </c>
      <c r="D295" s="17"/>
      <c r="E295" s="17">
        <v>0.14599999999999999</v>
      </c>
      <c r="F295" s="17">
        <v>0.10199999999999999</v>
      </c>
      <c r="G295" s="17">
        <v>2</v>
      </c>
      <c r="H295" s="17">
        <v>0.109</v>
      </c>
      <c r="I295" s="17">
        <v>8.9999999999999993E-3</v>
      </c>
      <c r="J295" s="17">
        <v>8.5869999999999997</v>
      </c>
    </row>
    <row r="296" spans="2:10" x14ac:dyDescent="0.25">
      <c r="B296" s="17"/>
      <c r="C296" s="17" t="s">
        <v>73</v>
      </c>
      <c r="D296" s="17"/>
      <c r="E296" s="17">
        <v>0.159</v>
      </c>
      <c r="F296" s="17">
        <v>0.115</v>
      </c>
      <c r="G296" s="17"/>
      <c r="H296" s="17"/>
      <c r="I296" s="17"/>
      <c r="J296" s="17"/>
    </row>
    <row r="297" spans="2:10" x14ac:dyDescent="0.25">
      <c r="B297" s="17" t="s">
        <v>56</v>
      </c>
      <c r="C297" s="17" t="s">
        <v>74</v>
      </c>
      <c r="D297" s="17"/>
      <c r="E297" s="17">
        <v>0.109</v>
      </c>
      <c r="F297" s="17">
        <v>6.5000000000000002E-2</v>
      </c>
      <c r="G297" s="17">
        <v>2</v>
      </c>
      <c r="H297" s="17">
        <v>5.2999999999999999E-2</v>
      </c>
      <c r="I297" s="17">
        <v>1.6E-2</v>
      </c>
      <c r="J297" s="17">
        <v>30.94</v>
      </c>
    </row>
    <row r="298" spans="2:10" x14ac:dyDescent="0.25">
      <c r="B298" s="17"/>
      <c r="C298" s="17" t="s">
        <v>75</v>
      </c>
      <c r="D298" s="17"/>
      <c r="E298" s="17">
        <v>8.5000000000000006E-2</v>
      </c>
      <c r="F298" s="17">
        <v>4.2000000000000003E-2</v>
      </c>
      <c r="G298" s="17"/>
      <c r="H298" s="17"/>
      <c r="I298" s="17"/>
      <c r="J298" s="17"/>
    </row>
    <row r="299" spans="2:10" x14ac:dyDescent="0.25">
      <c r="B299" s="17" t="s">
        <v>37</v>
      </c>
      <c r="C299" s="17" t="s">
        <v>76</v>
      </c>
      <c r="D299" s="17"/>
      <c r="E299" s="17">
        <v>0.122</v>
      </c>
      <c r="F299" s="17">
        <v>7.8E-2</v>
      </c>
      <c r="G299" s="17">
        <v>2</v>
      </c>
      <c r="H299" s="17">
        <v>7.6999999999999999E-2</v>
      </c>
      <c r="I299" s="17">
        <v>2E-3</v>
      </c>
      <c r="J299" s="17">
        <v>2.3029999999999999</v>
      </c>
    </row>
    <row r="300" spans="2:10" x14ac:dyDescent="0.25">
      <c r="B300" s="17"/>
      <c r="C300" s="17" t="s">
        <v>77</v>
      </c>
      <c r="D300" s="17"/>
      <c r="E300" s="17">
        <v>0.11899999999999999</v>
      </c>
      <c r="F300" s="17">
        <v>7.4999999999999997E-2</v>
      </c>
      <c r="G300" s="17"/>
      <c r="H300" s="17"/>
      <c r="I300" s="17"/>
      <c r="J300" s="17"/>
    </row>
    <row r="301" spans="2:10" x14ac:dyDescent="0.25">
      <c r="B301" s="17" t="s">
        <v>45</v>
      </c>
      <c r="C301" s="17" t="s">
        <v>78</v>
      </c>
      <c r="D301" s="17"/>
      <c r="E301" s="17">
        <v>0.09</v>
      </c>
      <c r="F301" s="17">
        <v>4.7E-2</v>
      </c>
      <c r="G301" s="17">
        <v>2</v>
      </c>
      <c r="H301" s="17">
        <v>0.05</v>
      </c>
      <c r="I301" s="17">
        <v>4.0000000000000001E-3</v>
      </c>
      <c r="J301" s="17">
        <v>8.2520000000000007</v>
      </c>
    </row>
    <row r="302" spans="2:10" x14ac:dyDescent="0.25">
      <c r="B302" s="17"/>
      <c r="C302" s="17" t="s">
        <v>79</v>
      </c>
      <c r="D302" s="17"/>
      <c r="E302" s="17">
        <v>9.6000000000000002E-2</v>
      </c>
      <c r="F302" s="17">
        <v>5.2999999999999999E-2</v>
      </c>
      <c r="G302" s="17"/>
      <c r="H302" s="17"/>
      <c r="I302" s="17"/>
      <c r="J302" s="17"/>
    </row>
    <row r="303" spans="2:10" x14ac:dyDescent="0.25">
      <c r="B303" s="17" t="s">
        <v>51</v>
      </c>
      <c r="C303" s="17" t="s">
        <v>80</v>
      </c>
      <c r="D303" s="17"/>
      <c r="E303" s="17">
        <v>0.19800000000000001</v>
      </c>
      <c r="F303" s="17">
        <v>0.155</v>
      </c>
      <c r="G303" s="17">
        <v>2</v>
      </c>
      <c r="H303" s="17">
        <v>0.153</v>
      </c>
      <c r="I303" s="17">
        <v>2E-3</v>
      </c>
      <c r="J303" s="17">
        <v>1.1990000000000001</v>
      </c>
    </row>
    <row r="304" spans="2:10" x14ac:dyDescent="0.25">
      <c r="B304" s="17"/>
      <c r="C304" s="17" t="s">
        <v>81</v>
      </c>
      <c r="D304" s="17"/>
      <c r="E304" s="17">
        <v>0.19600000000000001</v>
      </c>
      <c r="F304" s="17">
        <v>0.152</v>
      </c>
      <c r="G304" s="17"/>
      <c r="H304" s="17"/>
      <c r="I304" s="17"/>
      <c r="J304" s="17"/>
    </row>
    <row r="305" spans="2:10" x14ac:dyDescent="0.25">
      <c r="B305" s="17" t="s">
        <v>57</v>
      </c>
      <c r="C305" s="17" t="s">
        <v>82</v>
      </c>
      <c r="D305" s="17"/>
      <c r="E305" s="17">
        <v>8.4000000000000005E-2</v>
      </c>
      <c r="F305" s="17">
        <v>0.04</v>
      </c>
      <c r="G305" s="17">
        <v>2</v>
      </c>
      <c r="H305" s="17">
        <v>4.4999999999999998E-2</v>
      </c>
      <c r="I305" s="17">
        <v>8.0000000000000002E-3</v>
      </c>
      <c r="J305" s="17">
        <v>16.646999999999998</v>
      </c>
    </row>
    <row r="306" spans="2:10" x14ac:dyDescent="0.25">
      <c r="B306" s="17"/>
      <c r="C306" s="17" t="s">
        <v>83</v>
      </c>
      <c r="D306" s="17"/>
      <c r="E306" s="17">
        <v>9.4E-2</v>
      </c>
      <c r="F306" s="17">
        <v>5.0999999999999997E-2</v>
      </c>
      <c r="G306" s="17"/>
      <c r="H306" s="17"/>
      <c r="I306" s="17"/>
      <c r="J306" s="17"/>
    </row>
    <row r="307" spans="2:10" x14ac:dyDescent="0.25">
      <c r="B307" s="17" t="s">
        <v>38</v>
      </c>
      <c r="C307" s="17" t="s">
        <v>84</v>
      </c>
      <c r="D307" s="17"/>
      <c r="E307" s="17">
        <v>0.11700000000000001</v>
      </c>
      <c r="F307" s="17">
        <v>7.3999999999999996E-2</v>
      </c>
      <c r="G307" s="17">
        <v>2</v>
      </c>
      <c r="H307" s="17">
        <v>7.5999999999999998E-2</v>
      </c>
      <c r="I307" s="17">
        <v>3.0000000000000001E-3</v>
      </c>
      <c r="J307" s="17">
        <v>4.359</v>
      </c>
    </row>
    <row r="308" spans="2:10" x14ac:dyDescent="0.25">
      <c r="B308" s="17"/>
      <c r="C308" s="17" t="s">
        <v>85</v>
      </c>
      <c r="D308" s="17"/>
      <c r="E308" s="17">
        <v>0.122</v>
      </c>
      <c r="F308" s="17">
        <v>7.9000000000000001E-2</v>
      </c>
      <c r="G308" s="17"/>
      <c r="H308" s="17"/>
      <c r="I308" s="17"/>
      <c r="J308" s="17"/>
    </row>
    <row r="309" spans="2:10" x14ac:dyDescent="0.25">
      <c r="B309" s="17" t="s">
        <v>46</v>
      </c>
      <c r="C309" s="17" t="s">
        <v>86</v>
      </c>
      <c r="D309" s="17"/>
      <c r="E309" s="17">
        <v>0.129</v>
      </c>
      <c r="F309" s="17">
        <v>8.5000000000000006E-2</v>
      </c>
      <c r="G309" s="17">
        <v>2</v>
      </c>
      <c r="H309" s="17">
        <v>9.1999999999999998E-2</v>
      </c>
      <c r="I309" s="17">
        <v>0.01</v>
      </c>
      <c r="J309" s="17">
        <v>10.476000000000001</v>
      </c>
    </row>
    <row r="310" spans="2:10" x14ac:dyDescent="0.25">
      <c r="B310" s="17"/>
      <c r="C310" s="17" t="s">
        <v>87</v>
      </c>
      <c r="D310" s="17"/>
      <c r="E310" s="17">
        <v>0.14199999999999999</v>
      </c>
      <c r="F310" s="17">
        <v>9.9000000000000005E-2</v>
      </c>
      <c r="G310" s="17"/>
      <c r="H310" s="17"/>
      <c r="I310" s="17"/>
      <c r="J310" s="17"/>
    </row>
    <row r="311" spans="2:10" x14ac:dyDescent="0.25">
      <c r="B311" s="17" t="s">
        <v>52</v>
      </c>
      <c r="C311" s="17" t="s">
        <v>139</v>
      </c>
      <c r="D311" s="17"/>
      <c r="E311" s="17">
        <v>0.115</v>
      </c>
      <c r="F311" s="17">
        <v>7.0999999999999994E-2</v>
      </c>
      <c r="G311" s="17">
        <v>2</v>
      </c>
      <c r="H311" s="17">
        <v>6.8000000000000005E-2</v>
      </c>
      <c r="I311" s="17">
        <v>4.0000000000000001E-3</v>
      </c>
      <c r="J311" s="17">
        <v>6.2480000000000002</v>
      </c>
    </row>
    <row r="312" spans="2:10" x14ac:dyDescent="0.25">
      <c r="B312" s="17"/>
      <c r="C312" s="17" t="s">
        <v>140</v>
      </c>
      <c r="D312" s="17"/>
      <c r="E312" s="17">
        <v>0.109</v>
      </c>
      <c r="F312" s="17">
        <v>6.5000000000000002E-2</v>
      </c>
      <c r="G312" s="17"/>
      <c r="H312" s="17"/>
      <c r="I312" s="17"/>
      <c r="J312" s="17"/>
    </row>
    <row r="313" spans="2:10" x14ac:dyDescent="0.25">
      <c r="B313" s="17" t="s">
        <v>132</v>
      </c>
      <c r="C313" s="17" t="s">
        <v>141</v>
      </c>
      <c r="D313" s="17"/>
      <c r="E313" s="17">
        <v>0.1</v>
      </c>
      <c r="F313" s="17">
        <v>5.7000000000000002E-2</v>
      </c>
      <c r="G313" s="17">
        <v>2</v>
      </c>
      <c r="H313" s="17">
        <v>5.8999999999999997E-2</v>
      </c>
      <c r="I313" s="17">
        <v>3.0000000000000001E-3</v>
      </c>
      <c r="J313" s="17">
        <v>5.8579999999999997</v>
      </c>
    </row>
    <row r="314" spans="2:10" x14ac:dyDescent="0.25">
      <c r="B314" s="17"/>
      <c r="C314" s="17" t="s">
        <v>142</v>
      </c>
      <c r="D314" s="17"/>
      <c r="E314" s="17">
        <v>0.105</v>
      </c>
      <c r="F314" s="17">
        <v>6.2E-2</v>
      </c>
      <c r="G314" s="17"/>
      <c r="H314" s="17"/>
      <c r="I314" s="17"/>
      <c r="J314" s="17"/>
    </row>
    <row r="315" spans="2:10" x14ac:dyDescent="0.25">
      <c r="B315" s="17" t="s">
        <v>135</v>
      </c>
      <c r="C315" s="17" t="s">
        <v>143</v>
      </c>
      <c r="D315" s="17"/>
      <c r="E315" s="17">
        <v>9.0999999999999998E-2</v>
      </c>
      <c r="F315" s="17">
        <v>4.8000000000000001E-2</v>
      </c>
      <c r="G315" s="17">
        <v>2</v>
      </c>
      <c r="H315" s="17">
        <v>0.05</v>
      </c>
      <c r="I315" s="17">
        <v>4.0000000000000001E-3</v>
      </c>
      <c r="J315" s="17">
        <v>7.1769999999999996</v>
      </c>
    </row>
    <row r="316" spans="2:10" x14ac:dyDescent="0.25">
      <c r="B316" s="17"/>
      <c r="C316" s="17" t="s">
        <v>144</v>
      </c>
      <c r="D316" s="17"/>
      <c r="E316" s="17">
        <v>9.6000000000000002E-2</v>
      </c>
      <c r="F316" s="17">
        <v>5.2999999999999999E-2</v>
      </c>
      <c r="G316" s="17"/>
      <c r="H316" s="17"/>
      <c r="I316" s="17"/>
      <c r="J316" s="17"/>
    </row>
    <row r="317" spans="2:10" x14ac:dyDescent="0.25">
      <c r="B317" s="17" t="s">
        <v>137</v>
      </c>
      <c r="C317" s="17" t="s">
        <v>145</v>
      </c>
      <c r="D317" s="17"/>
      <c r="E317" s="17">
        <v>0.14099999999999999</v>
      </c>
      <c r="F317" s="17">
        <v>9.8000000000000004E-2</v>
      </c>
      <c r="G317" s="17">
        <v>2</v>
      </c>
      <c r="H317" s="17">
        <v>8.6999999999999994E-2</v>
      </c>
      <c r="I317" s="17">
        <v>1.4999999999999999E-2</v>
      </c>
      <c r="J317" s="17">
        <v>17.14</v>
      </c>
    </row>
    <row r="318" spans="2:10" x14ac:dyDescent="0.25">
      <c r="B318" s="17"/>
      <c r="C318" s="17" t="s">
        <v>146</v>
      </c>
      <c r="D318" s="17"/>
      <c r="E318" s="17">
        <v>0.12</v>
      </c>
      <c r="F318" s="17">
        <v>7.5999999999999998E-2</v>
      </c>
      <c r="G318" s="17"/>
      <c r="H318" s="17"/>
      <c r="I318" s="17"/>
      <c r="J318" s="17"/>
    </row>
    <row r="319" spans="2:10" x14ac:dyDescent="0.25">
      <c r="B319" s="17" t="s">
        <v>131</v>
      </c>
      <c r="C319" s="17" t="s">
        <v>147</v>
      </c>
      <c r="D319" s="17"/>
      <c r="E319" s="17">
        <v>0.14699999999999999</v>
      </c>
      <c r="F319" s="17">
        <v>0.104</v>
      </c>
      <c r="G319" s="17">
        <v>2</v>
      </c>
      <c r="H319" s="17">
        <v>0.115</v>
      </c>
      <c r="I319" s="17">
        <v>1.7000000000000001E-2</v>
      </c>
      <c r="J319" s="17">
        <v>14.638</v>
      </c>
    </row>
    <row r="320" spans="2:10" x14ac:dyDescent="0.25">
      <c r="B320" s="17"/>
      <c r="C320" s="17" t="s">
        <v>148</v>
      </c>
      <c r="D320" s="17"/>
      <c r="E320" s="17">
        <v>0.17100000000000001</v>
      </c>
      <c r="F320" s="17">
        <v>0.127</v>
      </c>
      <c r="G320" s="17"/>
      <c r="H320" s="17"/>
      <c r="I320" s="17"/>
      <c r="J320" s="17"/>
    </row>
    <row r="321" spans="2:10" x14ac:dyDescent="0.25">
      <c r="B321" s="17" t="s">
        <v>133</v>
      </c>
      <c r="C321" s="17" t="s">
        <v>149</v>
      </c>
      <c r="D321" s="17"/>
      <c r="E321" s="17">
        <v>8.5999999999999993E-2</v>
      </c>
      <c r="F321" s="17">
        <v>4.2000000000000003E-2</v>
      </c>
      <c r="G321" s="17">
        <v>2</v>
      </c>
      <c r="H321" s="17">
        <v>4.4999999999999998E-2</v>
      </c>
      <c r="I321" s="17">
        <v>5.0000000000000001E-3</v>
      </c>
      <c r="J321" s="17">
        <v>10.18</v>
      </c>
    </row>
    <row r="322" spans="2:10" x14ac:dyDescent="0.25">
      <c r="B322" s="17"/>
      <c r="C322" s="17" t="s">
        <v>150</v>
      </c>
      <c r="D322" s="17"/>
      <c r="E322" s="17">
        <v>9.1999999999999998E-2</v>
      </c>
      <c r="F322" s="17">
        <v>4.8000000000000001E-2</v>
      </c>
      <c r="G322" s="17"/>
      <c r="H322" s="17"/>
      <c r="I322" s="17"/>
      <c r="J322" s="17"/>
    </row>
    <row r="323" spans="2:10" x14ac:dyDescent="0.25">
      <c r="B323" s="17" t="s">
        <v>136</v>
      </c>
      <c r="C323" s="17" t="s">
        <v>151</v>
      </c>
      <c r="D323" s="17"/>
      <c r="E323" s="17">
        <v>0.158</v>
      </c>
      <c r="F323" s="17">
        <v>0.114</v>
      </c>
      <c r="G323" s="17">
        <v>2</v>
      </c>
      <c r="H323" s="17">
        <v>0.121</v>
      </c>
      <c r="I323" s="17">
        <v>8.9999999999999993E-3</v>
      </c>
      <c r="J323" s="17">
        <v>7.4930000000000003</v>
      </c>
    </row>
    <row r="324" spans="2:10" x14ac:dyDescent="0.25">
      <c r="B324" s="17"/>
      <c r="C324" s="17" t="s">
        <v>152</v>
      </c>
      <c r="D324" s="17"/>
      <c r="E324" s="17">
        <v>0.17100000000000001</v>
      </c>
      <c r="F324" s="17">
        <v>0.127</v>
      </c>
      <c r="G324" s="17"/>
      <c r="H324" s="17"/>
      <c r="I324" s="17"/>
      <c r="J324" s="17"/>
    </row>
    <row r="325" spans="2:10" x14ac:dyDescent="0.25">
      <c r="B325" s="17" t="s">
        <v>138</v>
      </c>
      <c r="C325" s="17" t="s">
        <v>153</v>
      </c>
      <c r="D325" s="17"/>
      <c r="E325" s="17">
        <v>8.7999999999999995E-2</v>
      </c>
      <c r="F325" s="17">
        <v>4.3999999999999997E-2</v>
      </c>
      <c r="G325" s="17">
        <v>2</v>
      </c>
      <c r="H325" s="17">
        <v>4.5999999999999999E-2</v>
      </c>
      <c r="I325" s="17">
        <v>3.0000000000000001E-3</v>
      </c>
      <c r="J325" s="17">
        <v>6.1219999999999999</v>
      </c>
    </row>
    <row r="326" spans="2:10" x14ac:dyDescent="0.25">
      <c r="B326" s="17"/>
      <c r="C326" s="17" t="s">
        <v>154</v>
      </c>
      <c r="D326" s="17"/>
      <c r="E326" s="17">
        <v>9.1999999999999998E-2</v>
      </c>
      <c r="F326" s="17">
        <v>4.8000000000000001E-2</v>
      </c>
      <c r="G326" s="17"/>
      <c r="H326" s="17"/>
      <c r="I326" s="17"/>
      <c r="J326" s="17"/>
    </row>
    <row r="327" spans="2:10" x14ac:dyDescent="0.25">
      <c r="B327" s="17" t="s">
        <v>194</v>
      </c>
      <c r="C327" s="17" t="s">
        <v>218</v>
      </c>
      <c r="D327" s="17"/>
      <c r="E327" s="17">
        <v>0.106</v>
      </c>
      <c r="F327" s="17">
        <v>6.3E-2</v>
      </c>
      <c r="G327" s="17">
        <v>2</v>
      </c>
      <c r="H327" s="17">
        <v>6.6000000000000003E-2</v>
      </c>
      <c r="I327" s="17">
        <v>5.0000000000000001E-3</v>
      </c>
      <c r="J327" s="17">
        <v>7.5670000000000002</v>
      </c>
    </row>
    <row r="328" spans="2:10" x14ac:dyDescent="0.25">
      <c r="B328" s="17"/>
      <c r="C328" s="17" t="s">
        <v>219</v>
      </c>
      <c r="D328" s="17"/>
      <c r="E328" s="17">
        <v>0.114</v>
      </c>
      <c r="F328" s="17">
        <v>7.0000000000000007E-2</v>
      </c>
      <c r="G328" s="17"/>
      <c r="H328" s="17"/>
      <c r="I328" s="17"/>
      <c r="J328" s="17"/>
    </row>
    <row r="329" spans="2:10" x14ac:dyDescent="0.25">
      <c r="B329" s="17" t="s">
        <v>200</v>
      </c>
      <c r="C329" s="17" t="s">
        <v>220</v>
      </c>
      <c r="D329" s="17"/>
      <c r="E329" s="17">
        <v>9.9000000000000005E-2</v>
      </c>
      <c r="F329" s="17">
        <v>5.5E-2</v>
      </c>
      <c r="G329" s="17">
        <v>2</v>
      </c>
      <c r="H329" s="17">
        <v>5.7000000000000002E-2</v>
      </c>
      <c r="I329" s="17">
        <v>2E-3</v>
      </c>
      <c r="J329" s="17">
        <v>3.492</v>
      </c>
    </row>
    <row r="330" spans="2:10" x14ac:dyDescent="0.25">
      <c r="B330" s="17"/>
      <c r="C330" s="17" t="s">
        <v>221</v>
      </c>
      <c r="D330" s="17"/>
      <c r="E330" s="17">
        <v>0.10199999999999999</v>
      </c>
      <c r="F330" s="17">
        <v>5.8000000000000003E-2</v>
      </c>
      <c r="G330" s="17"/>
      <c r="H330" s="17"/>
      <c r="I330" s="17"/>
      <c r="J330" s="17"/>
    </row>
    <row r="331" spans="2:10" x14ac:dyDescent="0.25">
      <c r="B331" s="17" t="s">
        <v>206</v>
      </c>
      <c r="C331" s="17" t="s">
        <v>222</v>
      </c>
      <c r="D331" s="17"/>
      <c r="E331" s="17">
        <v>0.14399999999999999</v>
      </c>
      <c r="F331" s="17">
        <v>0.10100000000000001</v>
      </c>
      <c r="G331" s="17">
        <v>2</v>
      </c>
      <c r="H331" s="17">
        <v>0.13900000000000001</v>
      </c>
      <c r="I331" s="17">
        <v>5.3999999999999999E-2</v>
      </c>
      <c r="J331" s="17">
        <v>38.764000000000003</v>
      </c>
    </row>
    <row r="332" spans="2:10" x14ac:dyDescent="0.25">
      <c r="B332" s="17"/>
      <c r="C332" s="17" t="s">
        <v>223</v>
      </c>
      <c r="D332" s="17"/>
      <c r="E332" s="17">
        <v>0.221</v>
      </c>
      <c r="F332" s="17">
        <v>0.17699999999999999</v>
      </c>
      <c r="G332" s="17"/>
      <c r="H332" s="17"/>
      <c r="I332" s="17"/>
      <c r="J332" s="17"/>
    </row>
    <row r="333" spans="2:10" x14ac:dyDescent="0.25">
      <c r="B333" s="17" t="s">
        <v>212</v>
      </c>
      <c r="C333" s="17" t="s">
        <v>224</v>
      </c>
      <c r="D333" s="17"/>
      <c r="E333" s="17">
        <v>0.17499999999999999</v>
      </c>
      <c r="F333" s="17">
        <v>0.13100000000000001</v>
      </c>
      <c r="G333" s="17">
        <v>2</v>
      </c>
      <c r="H333" s="17">
        <v>0.13200000000000001</v>
      </c>
      <c r="I333" s="17">
        <v>1E-3</v>
      </c>
      <c r="J333" s="17">
        <v>0.85599999999999998</v>
      </c>
    </row>
    <row r="334" spans="2:10" x14ac:dyDescent="0.25">
      <c r="B334" s="17"/>
      <c r="C334" s="17" t="s">
        <v>225</v>
      </c>
      <c r="D334" s="17"/>
      <c r="E334" s="17">
        <v>0.17599999999999999</v>
      </c>
      <c r="F334" s="17">
        <v>0.13300000000000001</v>
      </c>
      <c r="G334" s="17"/>
      <c r="H334" s="17"/>
      <c r="I334" s="17"/>
      <c r="J334" s="17"/>
    </row>
    <row r="335" spans="2:10" x14ac:dyDescent="0.25">
      <c r="B335" s="17" t="s">
        <v>195</v>
      </c>
      <c r="C335" s="17" t="s">
        <v>226</v>
      </c>
      <c r="D335" s="17"/>
      <c r="E335" s="17">
        <v>0.152</v>
      </c>
      <c r="F335" s="17">
        <v>0.108</v>
      </c>
      <c r="G335" s="17">
        <v>2</v>
      </c>
      <c r="H335" s="17">
        <v>0.10299999999999999</v>
      </c>
      <c r="I335" s="17">
        <v>6.0000000000000001E-3</v>
      </c>
      <c r="J335" s="17">
        <v>6.22</v>
      </c>
    </row>
    <row r="336" spans="2:10" x14ac:dyDescent="0.25">
      <c r="B336" s="17"/>
      <c r="C336" s="17" t="s">
        <v>227</v>
      </c>
      <c r="D336" s="17"/>
      <c r="E336" s="17">
        <v>0.14199999999999999</v>
      </c>
      <c r="F336" s="17">
        <v>9.9000000000000005E-2</v>
      </c>
      <c r="G336" s="17"/>
      <c r="H336" s="17"/>
      <c r="I336" s="17"/>
      <c r="J336" s="17"/>
    </row>
    <row r="337" spans="2:10" x14ac:dyDescent="0.25">
      <c r="B337" s="17" t="s">
        <v>201</v>
      </c>
      <c r="C337" s="17" t="s">
        <v>228</v>
      </c>
      <c r="D337" s="17"/>
      <c r="E337" s="17">
        <v>0.16200000000000001</v>
      </c>
      <c r="F337" s="17">
        <v>0.11899999999999999</v>
      </c>
      <c r="G337" s="17">
        <v>2</v>
      </c>
      <c r="H337" s="17">
        <v>0.121</v>
      </c>
      <c r="I337" s="17">
        <v>3.0000000000000001E-3</v>
      </c>
      <c r="J337" s="17">
        <v>2.7480000000000002</v>
      </c>
    </row>
    <row r="338" spans="2:10" x14ac:dyDescent="0.25">
      <c r="B338" s="17"/>
      <c r="C338" s="17" t="s">
        <v>229</v>
      </c>
      <c r="D338" s="17"/>
      <c r="E338" s="17">
        <v>0.16700000000000001</v>
      </c>
      <c r="F338" s="17">
        <v>0.123</v>
      </c>
      <c r="G338" s="17"/>
      <c r="H338" s="17"/>
      <c r="I338" s="17"/>
      <c r="J338" s="17"/>
    </row>
    <row r="339" spans="2:10" x14ac:dyDescent="0.25">
      <c r="B339" s="17" t="s">
        <v>207</v>
      </c>
      <c r="C339" s="17" t="s">
        <v>230</v>
      </c>
      <c r="D339" s="17"/>
      <c r="E339" s="17">
        <v>0.11799999999999999</v>
      </c>
      <c r="F339" s="17">
        <v>7.3999999999999996E-2</v>
      </c>
      <c r="G339" s="17">
        <v>2</v>
      </c>
      <c r="H339" s="17">
        <v>7.4999999999999997E-2</v>
      </c>
      <c r="I339" s="17">
        <v>1E-3</v>
      </c>
      <c r="J339" s="17">
        <v>1.9790000000000001</v>
      </c>
    </row>
    <row r="340" spans="2:10" x14ac:dyDescent="0.25">
      <c r="B340" s="17"/>
      <c r="C340" s="17" t="s">
        <v>231</v>
      </c>
      <c r="D340" s="17"/>
      <c r="E340" s="17">
        <v>0.12</v>
      </c>
      <c r="F340" s="17">
        <v>7.5999999999999998E-2</v>
      </c>
      <c r="G340" s="17"/>
      <c r="H340" s="17"/>
      <c r="I340" s="17"/>
      <c r="J340" s="17"/>
    </row>
    <row r="341" spans="2:10" x14ac:dyDescent="0.25">
      <c r="B341" s="17" t="s">
        <v>213</v>
      </c>
      <c r="C341" s="17" t="s">
        <v>232</v>
      </c>
      <c r="D341" s="17"/>
      <c r="E341" s="17">
        <v>6.2E-2</v>
      </c>
      <c r="F341" s="17">
        <v>1.9E-2</v>
      </c>
      <c r="G341" s="17">
        <v>2</v>
      </c>
      <c r="H341" s="17">
        <v>1.7999999999999999E-2</v>
      </c>
      <c r="I341" s="17">
        <v>1E-3</v>
      </c>
      <c r="J341" s="17">
        <v>8.3659999999999997</v>
      </c>
    </row>
    <row r="342" spans="2:10" x14ac:dyDescent="0.25">
      <c r="B342" s="17"/>
      <c r="C342" s="17" t="s">
        <v>233</v>
      </c>
      <c r="D342" s="17"/>
      <c r="E342" s="17">
        <v>0.06</v>
      </c>
      <c r="F342" s="17">
        <v>1.7000000000000001E-2</v>
      </c>
      <c r="G342" s="17"/>
      <c r="H342" s="17"/>
      <c r="I342" s="17"/>
      <c r="J342" s="17"/>
    </row>
    <row r="343" spans="2:10" x14ac:dyDescent="0.25">
      <c r="B343" s="17" t="s">
        <v>196</v>
      </c>
      <c r="C343" s="17" t="s">
        <v>234</v>
      </c>
      <c r="D343" s="17"/>
      <c r="E343" s="17">
        <v>9.1999999999999998E-2</v>
      </c>
      <c r="F343" s="17">
        <v>4.9000000000000002E-2</v>
      </c>
      <c r="G343" s="17">
        <v>2</v>
      </c>
      <c r="H343" s="17">
        <v>4.8000000000000001E-2</v>
      </c>
      <c r="I343" s="17">
        <v>1E-3</v>
      </c>
      <c r="J343" s="17">
        <v>3.1160000000000001</v>
      </c>
    </row>
    <row r="344" spans="2:10" x14ac:dyDescent="0.25">
      <c r="B344" s="17"/>
      <c r="C344" s="17" t="s">
        <v>235</v>
      </c>
      <c r="D344" s="17"/>
      <c r="E344" s="17">
        <v>0.09</v>
      </c>
      <c r="F344" s="17">
        <v>4.7E-2</v>
      </c>
      <c r="G344" s="17"/>
      <c r="H344" s="17"/>
      <c r="I344" s="17"/>
      <c r="J344" s="17"/>
    </row>
    <row r="345" spans="2:10" x14ac:dyDescent="0.25">
      <c r="B345" s="17" t="s">
        <v>202</v>
      </c>
      <c r="C345" s="17" t="s">
        <v>236</v>
      </c>
      <c r="D345" s="17"/>
      <c r="E345" s="17">
        <v>8.1000000000000003E-2</v>
      </c>
      <c r="F345" s="17">
        <v>3.6999999999999998E-2</v>
      </c>
      <c r="G345" s="17">
        <v>2</v>
      </c>
      <c r="H345" s="17">
        <v>2.8000000000000001E-2</v>
      </c>
      <c r="I345" s="17">
        <v>1.2999999999999999E-2</v>
      </c>
      <c r="J345" s="17">
        <v>46.463000000000001</v>
      </c>
    </row>
    <row r="346" spans="2:10" x14ac:dyDescent="0.25">
      <c r="B346" s="17"/>
      <c r="C346" s="17" t="s">
        <v>237</v>
      </c>
      <c r="D346" s="17"/>
      <c r="E346" s="17">
        <v>6.2E-2</v>
      </c>
      <c r="F346" s="17">
        <v>1.9E-2</v>
      </c>
      <c r="G346" s="17"/>
      <c r="H346" s="17"/>
      <c r="I346" s="17"/>
      <c r="J346" s="17"/>
    </row>
    <row r="347" spans="2:10" x14ac:dyDescent="0.25">
      <c r="B347" s="17" t="s">
        <v>208</v>
      </c>
      <c r="C347" s="17" t="s">
        <v>238</v>
      </c>
      <c r="D347" s="17"/>
      <c r="E347" s="17">
        <v>9.0999999999999998E-2</v>
      </c>
      <c r="F347" s="17">
        <v>4.8000000000000001E-2</v>
      </c>
      <c r="G347" s="17">
        <v>2</v>
      </c>
      <c r="H347" s="17">
        <v>0.05</v>
      </c>
      <c r="I347" s="17">
        <v>4.0000000000000001E-3</v>
      </c>
      <c r="J347" s="17">
        <v>7.0149999999999997</v>
      </c>
    </row>
    <row r="348" spans="2:10" x14ac:dyDescent="0.25">
      <c r="B348" s="17"/>
      <c r="C348" s="17" t="s">
        <v>239</v>
      </c>
      <c r="D348" s="17"/>
      <c r="E348" s="17">
        <v>9.7000000000000003E-2</v>
      </c>
      <c r="F348" s="17">
        <v>5.2999999999999999E-2</v>
      </c>
      <c r="G348" s="17"/>
      <c r="H348" s="17"/>
      <c r="I348" s="17"/>
      <c r="J348" s="17"/>
    </row>
    <row r="349" spans="2:10" x14ac:dyDescent="0.25">
      <c r="B349" s="17" t="s">
        <v>214</v>
      </c>
      <c r="C349" s="17" t="s">
        <v>240</v>
      </c>
      <c r="D349" s="17"/>
      <c r="E349" s="17">
        <v>0.26500000000000001</v>
      </c>
      <c r="F349" s="17">
        <v>0.221</v>
      </c>
      <c r="G349" s="17">
        <v>2</v>
      </c>
      <c r="H349" s="17">
        <v>0.22500000000000001</v>
      </c>
      <c r="I349" s="17">
        <v>5.0000000000000001E-3</v>
      </c>
      <c r="J349" s="17">
        <v>2.3879999999999999</v>
      </c>
    </row>
    <row r="350" spans="2:10" x14ac:dyDescent="0.25">
      <c r="B350" s="17"/>
      <c r="C350" s="17" t="s">
        <v>241</v>
      </c>
      <c r="D350" s="17"/>
      <c r="E350" s="17">
        <v>0.27200000000000002</v>
      </c>
      <c r="F350" s="17">
        <v>0.22900000000000001</v>
      </c>
      <c r="G350" s="17"/>
      <c r="H350" s="17"/>
      <c r="I350" s="17"/>
      <c r="J350" s="17"/>
    </row>
    <row r="351" spans="2:10" x14ac:dyDescent="0.25">
      <c r="B351" s="17" t="s">
        <v>197</v>
      </c>
      <c r="C351" s="17" t="s">
        <v>242</v>
      </c>
      <c r="D351" s="17"/>
      <c r="E351" s="17">
        <v>4.5999999999999999E-2</v>
      </c>
      <c r="F351" s="17">
        <v>2E-3</v>
      </c>
      <c r="G351" s="17">
        <v>2</v>
      </c>
      <c r="H351" s="17">
        <v>1E-3</v>
      </c>
      <c r="I351" s="17">
        <v>2E-3</v>
      </c>
      <c r="J351" s="17">
        <v>207.97300000000001</v>
      </c>
    </row>
    <row r="352" spans="2:10" x14ac:dyDescent="0.25">
      <c r="B352" s="17"/>
      <c r="C352" s="17" t="s">
        <v>243</v>
      </c>
      <c r="D352" s="17"/>
      <c r="E352" s="17">
        <v>4.2999999999999997E-2</v>
      </c>
      <c r="F352" s="17">
        <v>0</v>
      </c>
      <c r="G352" s="17"/>
      <c r="H352" s="17"/>
      <c r="I352" s="17"/>
      <c r="J352" s="17"/>
    </row>
    <row r="353" spans="2:10" x14ac:dyDescent="0.25">
      <c r="B353" s="17" t="s">
        <v>203</v>
      </c>
      <c r="C353" s="17" t="s">
        <v>244</v>
      </c>
      <c r="D353" s="17"/>
      <c r="E353" s="17">
        <v>0.19600000000000001</v>
      </c>
      <c r="F353" s="17">
        <v>0.152</v>
      </c>
      <c r="G353" s="17">
        <v>2</v>
      </c>
      <c r="H353" s="17">
        <v>0.14399999999999999</v>
      </c>
      <c r="I353" s="17">
        <v>1.0999999999999999E-2</v>
      </c>
      <c r="J353" s="17">
        <v>7.8869999999999996</v>
      </c>
    </row>
    <row r="354" spans="2:10" x14ac:dyDescent="0.25">
      <c r="B354" s="17"/>
      <c r="C354" s="17" t="s">
        <v>245</v>
      </c>
      <c r="D354" s="17"/>
      <c r="E354" s="17">
        <v>0.18</v>
      </c>
      <c r="F354" s="17">
        <v>0.13600000000000001</v>
      </c>
      <c r="G354" s="17"/>
      <c r="H354" s="17"/>
      <c r="I354" s="17"/>
      <c r="J354" s="17"/>
    </row>
    <row r="355" spans="2:10" x14ac:dyDescent="0.25">
      <c r="B355" s="17" t="s">
        <v>209</v>
      </c>
      <c r="C355" s="17" t="s">
        <v>246</v>
      </c>
      <c r="D355" s="17"/>
      <c r="E355" s="17">
        <v>0.154</v>
      </c>
      <c r="F355" s="17">
        <v>0.11</v>
      </c>
      <c r="G355" s="17">
        <v>2</v>
      </c>
      <c r="H355" s="17">
        <v>0.111</v>
      </c>
      <c r="I355" s="17">
        <v>1E-3</v>
      </c>
      <c r="J355" s="17">
        <v>1.21</v>
      </c>
    </row>
    <row r="356" spans="2:10" x14ac:dyDescent="0.25">
      <c r="B356" s="17"/>
      <c r="C356" s="17" t="s">
        <v>247</v>
      </c>
      <c r="D356" s="17"/>
      <c r="E356" s="17">
        <v>0.156</v>
      </c>
      <c r="F356" s="17">
        <v>0.112</v>
      </c>
      <c r="G356" s="17"/>
      <c r="H356" s="17"/>
      <c r="I356" s="17"/>
      <c r="J356" s="17"/>
    </row>
    <row r="357" spans="2:10" x14ac:dyDescent="0.25">
      <c r="B357" s="17" t="s">
        <v>215</v>
      </c>
      <c r="C357" s="17" t="s">
        <v>248</v>
      </c>
      <c r="D357" s="17"/>
      <c r="E357" s="17">
        <v>4.4999999999999998E-2</v>
      </c>
      <c r="F357" s="17">
        <v>2E-3</v>
      </c>
      <c r="G357" s="17">
        <v>2</v>
      </c>
      <c r="H357" s="17">
        <v>2E-3</v>
      </c>
      <c r="I357" s="17">
        <v>0</v>
      </c>
      <c r="J357" s="17">
        <v>3.6259999999999999</v>
      </c>
    </row>
    <row r="358" spans="2:10" x14ac:dyDescent="0.25">
      <c r="B358" s="17"/>
      <c r="C358" s="17" t="s">
        <v>249</v>
      </c>
      <c r="D358" s="17"/>
      <c r="E358" s="17">
        <v>4.5999999999999999E-2</v>
      </c>
      <c r="F358" s="17">
        <v>2E-3</v>
      </c>
      <c r="G358" s="17"/>
      <c r="H358" s="17"/>
      <c r="I358" s="17"/>
      <c r="J358" s="17"/>
    </row>
    <row r="359" spans="2:10" x14ac:dyDescent="0.25">
      <c r="B359" s="17" t="s">
        <v>198</v>
      </c>
      <c r="C359" s="17" t="s">
        <v>250</v>
      </c>
      <c r="D359" s="17"/>
      <c r="E359" s="17">
        <v>0.13800000000000001</v>
      </c>
      <c r="F359" s="17">
        <v>9.4E-2</v>
      </c>
      <c r="G359" s="17">
        <v>2</v>
      </c>
      <c r="H359" s="17">
        <v>9.1999999999999998E-2</v>
      </c>
      <c r="I359" s="17">
        <v>3.0000000000000001E-3</v>
      </c>
      <c r="J359" s="17">
        <v>3.3780000000000001</v>
      </c>
    </row>
    <row r="360" spans="2:10" x14ac:dyDescent="0.25">
      <c r="B360" s="17"/>
      <c r="C360" s="17" t="s">
        <v>251</v>
      </c>
      <c r="D360" s="17"/>
      <c r="E360" s="17">
        <v>0.13400000000000001</v>
      </c>
      <c r="F360" s="17">
        <v>0.09</v>
      </c>
      <c r="G360" s="17"/>
      <c r="H360" s="17"/>
      <c r="I360" s="17"/>
      <c r="J360" s="17"/>
    </row>
    <row r="361" spans="2:10" x14ac:dyDescent="0.25">
      <c r="B361" s="17" t="s">
        <v>204</v>
      </c>
      <c r="C361" s="17" t="s">
        <v>252</v>
      </c>
      <c r="D361" s="17"/>
      <c r="E361" s="17">
        <v>0.13400000000000001</v>
      </c>
      <c r="F361" s="17">
        <v>0.09</v>
      </c>
      <c r="G361" s="17">
        <v>2</v>
      </c>
      <c r="H361" s="17">
        <v>9.1999999999999998E-2</v>
      </c>
      <c r="I361" s="17">
        <v>3.0000000000000001E-3</v>
      </c>
      <c r="J361" s="17">
        <v>2.7639999999999998</v>
      </c>
    </row>
    <row r="362" spans="2:10" x14ac:dyDescent="0.25">
      <c r="B362" s="17"/>
      <c r="C362" s="17" t="s">
        <v>253</v>
      </c>
      <c r="D362" s="17"/>
      <c r="E362" s="17">
        <v>0.13800000000000001</v>
      </c>
      <c r="F362" s="17">
        <v>9.4E-2</v>
      </c>
      <c r="G362" s="17"/>
      <c r="H362" s="17"/>
      <c r="I362" s="17"/>
      <c r="J362" s="17"/>
    </row>
    <row r="363" spans="2:10" x14ac:dyDescent="0.25">
      <c r="B363" s="17" t="s">
        <v>210</v>
      </c>
      <c r="C363" s="17" t="s">
        <v>254</v>
      </c>
      <c r="D363" s="17"/>
      <c r="E363" s="17">
        <v>8.5000000000000006E-2</v>
      </c>
      <c r="F363" s="17">
        <v>4.1000000000000002E-2</v>
      </c>
      <c r="G363" s="17">
        <v>2</v>
      </c>
      <c r="H363" s="17">
        <v>4.5999999999999999E-2</v>
      </c>
      <c r="I363" s="17">
        <v>6.0000000000000001E-3</v>
      </c>
      <c r="J363" s="17">
        <v>13.195</v>
      </c>
    </row>
    <row r="364" spans="2:10" x14ac:dyDescent="0.25">
      <c r="B364" s="17"/>
      <c r="C364" s="17" t="s">
        <v>255</v>
      </c>
      <c r="D364" s="17"/>
      <c r="E364" s="17">
        <v>9.2999999999999999E-2</v>
      </c>
      <c r="F364" s="17">
        <v>0.05</v>
      </c>
      <c r="G364" s="17"/>
      <c r="H364" s="17"/>
      <c r="I364" s="17"/>
      <c r="J364" s="17"/>
    </row>
    <row r="365" spans="2:10" x14ac:dyDescent="0.25">
      <c r="B365" s="17" t="s">
        <v>216</v>
      </c>
      <c r="C365" s="17" t="s">
        <v>256</v>
      </c>
      <c r="D365" s="17"/>
      <c r="E365" s="17">
        <v>0.114</v>
      </c>
      <c r="F365" s="17">
        <v>7.0000000000000007E-2</v>
      </c>
      <c r="G365" s="17">
        <v>2</v>
      </c>
      <c r="H365" s="17">
        <v>7.8E-2</v>
      </c>
      <c r="I365" s="17">
        <v>1.2E-2</v>
      </c>
      <c r="J365" s="17">
        <v>15.071999999999999</v>
      </c>
    </row>
    <row r="366" spans="2:10" x14ac:dyDescent="0.25">
      <c r="B366" s="17"/>
      <c r="C366" s="17" t="s">
        <v>257</v>
      </c>
      <c r="D366" s="17"/>
      <c r="E366" s="17">
        <v>0.13</v>
      </c>
      <c r="F366" s="17">
        <v>8.6999999999999994E-2</v>
      </c>
      <c r="G366" s="17"/>
      <c r="H366" s="17"/>
      <c r="I366" s="17"/>
      <c r="J366" s="17"/>
    </row>
    <row r="367" spans="2:10" x14ac:dyDescent="0.25">
      <c r="B367" s="17" t="s">
        <v>199</v>
      </c>
      <c r="C367" s="17" t="s">
        <v>258</v>
      </c>
      <c r="D367" s="17"/>
      <c r="E367" s="17">
        <v>4.3999999999999997E-2</v>
      </c>
      <c r="F367" s="17">
        <v>0</v>
      </c>
      <c r="G367" s="17">
        <v>2</v>
      </c>
      <c r="H367" s="17">
        <v>0</v>
      </c>
      <c r="I367" s="17">
        <v>0</v>
      </c>
      <c r="J367" s="17" t="s">
        <v>99</v>
      </c>
    </row>
    <row r="368" spans="2:10" x14ac:dyDescent="0.25">
      <c r="B368" s="17"/>
      <c r="C368" s="17" t="s">
        <v>259</v>
      </c>
      <c r="D368" s="17"/>
      <c r="E368" s="17">
        <v>4.2999999999999997E-2</v>
      </c>
      <c r="F368" s="17">
        <v>0</v>
      </c>
      <c r="G368" s="17"/>
      <c r="H368" s="17"/>
      <c r="I368" s="17"/>
      <c r="J368" s="17"/>
    </row>
    <row r="369" spans="2:10" x14ac:dyDescent="0.25">
      <c r="B369" s="17" t="s">
        <v>205</v>
      </c>
      <c r="C369" s="17" t="s">
        <v>260</v>
      </c>
      <c r="D369" s="17"/>
      <c r="E369" s="17">
        <v>0.06</v>
      </c>
      <c r="F369" s="17">
        <v>1.7000000000000001E-2</v>
      </c>
      <c r="G369" s="17">
        <v>2</v>
      </c>
      <c r="H369" s="17">
        <v>2.1000000000000001E-2</v>
      </c>
      <c r="I369" s="17">
        <v>6.0000000000000001E-3</v>
      </c>
      <c r="J369" s="17">
        <v>27.742999999999999</v>
      </c>
    </row>
    <row r="370" spans="2:10" x14ac:dyDescent="0.25">
      <c r="B370" s="17"/>
      <c r="C370" s="17" t="s">
        <v>261</v>
      </c>
      <c r="D370" s="17"/>
      <c r="E370" s="17">
        <v>6.9000000000000006E-2</v>
      </c>
      <c r="F370" s="17">
        <v>2.5000000000000001E-2</v>
      </c>
      <c r="G370" s="17"/>
      <c r="H370" s="17"/>
      <c r="I370" s="17"/>
      <c r="J370" s="17"/>
    </row>
    <row r="371" spans="2:10" x14ac:dyDescent="0.25">
      <c r="B371" s="17" t="s">
        <v>211</v>
      </c>
      <c r="C371" s="17" t="s">
        <v>262</v>
      </c>
      <c r="D371" s="17"/>
      <c r="E371" s="17">
        <v>7.2999999999999995E-2</v>
      </c>
      <c r="F371" s="17">
        <v>2.9000000000000001E-2</v>
      </c>
      <c r="G371" s="17">
        <v>2</v>
      </c>
      <c r="H371" s="17">
        <v>2.5000000000000001E-2</v>
      </c>
      <c r="I371" s="17">
        <v>6.0000000000000001E-3</v>
      </c>
      <c r="J371" s="17">
        <v>25.87</v>
      </c>
    </row>
    <row r="372" spans="2:10" x14ac:dyDescent="0.25">
      <c r="B372" s="17"/>
      <c r="C372" s="17" t="s">
        <v>263</v>
      </c>
      <c r="D372" s="17"/>
      <c r="E372" s="17">
        <v>6.4000000000000001E-2</v>
      </c>
      <c r="F372" s="17">
        <v>0.02</v>
      </c>
      <c r="G372" s="17"/>
      <c r="H372" s="17"/>
      <c r="I372" s="17"/>
      <c r="J372" s="17"/>
    </row>
    <row r="373" spans="2:10" x14ac:dyDescent="0.25">
      <c r="B373" s="17" t="s">
        <v>217</v>
      </c>
      <c r="C373" s="17" t="s">
        <v>264</v>
      </c>
      <c r="D373" s="17"/>
      <c r="E373" s="17">
        <v>4.7E-2</v>
      </c>
      <c r="F373" s="17">
        <v>4.0000000000000001E-3</v>
      </c>
      <c r="G373" s="17">
        <v>2</v>
      </c>
      <c r="H373" s="17">
        <v>7.0000000000000001E-3</v>
      </c>
      <c r="I373" s="17">
        <v>5.0000000000000001E-3</v>
      </c>
      <c r="J373" s="17">
        <v>66.67</v>
      </c>
    </row>
    <row r="374" spans="2:10" x14ac:dyDescent="0.25">
      <c r="B374" s="17"/>
      <c r="C374" s="17" t="s">
        <v>265</v>
      </c>
      <c r="D374" s="17"/>
      <c r="E374" s="17">
        <v>5.3999999999999999E-2</v>
      </c>
      <c r="F374" s="17">
        <v>0.01</v>
      </c>
      <c r="G374" s="17"/>
      <c r="H374" s="17"/>
      <c r="I374" s="17"/>
      <c r="J374" s="17"/>
    </row>
    <row r="375" spans="2:10" x14ac:dyDescent="0.25">
      <c r="B375" s="17" t="s">
        <v>98</v>
      </c>
      <c r="C375" s="17" t="s">
        <v>88</v>
      </c>
      <c r="D375" s="17">
        <v>0</v>
      </c>
      <c r="E375" s="17">
        <v>4.3999999999999997E-2</v>
      </c>
      <c r="F375" s="17">
        <v>0</v>
      </c>
      <c r="G375" s="17">
        <v>2</v>
      </c>
      <c r="H375" s="17">
        <v>0</v>
      </c>
      <c r="I375" s="17">
        <v>0</v>
      </c>
      <c r="J375" s="17">
        <v>-141.42099999999999</v>
      </c>
    </row>
    <row r="376" spans="2:10" x14ac:dyDescent="0.25">
      <c r="B376" s="17"/>
      <c r="C376" s="17" t="s">
        <v>89</v>
      </c>
      <c r="D376" s="17">
        <v>0</v>
      </c>
      <c r="E376" s="17">
        <v>4.2999999999999997E-2</v>
      </c>
      <c r="F376" s="17">
        <v>-1E-3</v>
      </c>
      <c r="G376" s="17"/>
      <c r="H376" s="17"/>
      <c r="I376" s="17"/>
      <c r="J376" s="17"/>
    </row>
    <row r="377" spans="2:10" x14ac:dyDescent="0.25">
      <c r="B377" s="17" t="s">
        <v>43</v>
      </c>
      <c r="C377" s="17" t="s">
        <v>91</v>
      </c>
      <c r="D377" s="17">
        <v>12.5</v>
      </c>
      <c r="E377" s="17">
        <v>5.5E-2</v>
      </c>
      <c r="F377" s="17">
        <v>1.0999999999999999E-2</v>
      </c>
      <c r="G377" s="17">
        <v>2</v>
      </c>
      <c r="H377" s="17">
        <v>1.4E-2</v>
      </c>
      <c r="I377" s="17">
        <v>3.0000000000000001E-3</v>
      </c>
      <c r="J377" s="17">
        <v>24.094000000000001</v>
      </c>
    </row>
    <row r="378" spans="2:10" x14ac:dyDescent="0.25">
      <c r="B378" s="17"/>
      <c r="C378" s="17" t="s">
        <v>90</v>
      </c>
      <c r="D378" s="17">
        <v>12.5</v>
      </c>
      <c r="E378" s="17">
        <v>5.8999999999999997E-2</v>
      </c>
      <c r="F378" s="17">
        <v>1.6E-2</v>
      </c>
      <c r="G378" s="17"/>
      <c r="H378" s="17"/>
      <c r="I378" s="17"/>
      <c r="J378" s="17"/>
    </row>
    <row r="379" spans="2:10" x14ac:dyDescent="0.25">
      <c r="B379" s="17" t="s">
        <v>49</v>
      </c>
      <c r="C379" s="17" t="s">
        <v>92</v>
      </c>
      <c r="D379" s="17">
        <v>50</v>
      </c>
      <c r="E379" s="17">
        <v>9.2999999999999999E-2</v>
      </c>
      <c r="F379" s="17">
        <v>4.9000000000000002E-2</v>
      </c>
      <c r="G379" s="17">
        <v>2</v>
      </c>
      <c r="H379" s="17">
        <v>5.0999999999999997E-2</v>
      </c>
      <c r="I379" s="17">
        <v>2E-3</v>
      </c>
      <c r="J379" s="17">
        <v>4.0330000000000004</v>
      </c>
    </row>
    <row r="380" spans="2:10" x14ac:dyDescent="0.25">
      <c r="B380" s="17"/>
      <c r="C380" s="17" t="s">
        <v>93</v>
      </c>
      <c r="D380" s="17">
        <v>50</v>
      </c>
      <c r="E380" s="17">
        <v>9.6000000000000002E-2</v>
      </c>
      <c r="F380" s="17">
        <v>5.1999999999999998E-2</v>
      </c>
      <c r="G380" s="17"/>
      <c r="H380" s="17"/>
      <c r="I380" s="17"/>
      <c r="J380" s="17"/>
    </row>
    <row r="381" spans="2:10" x14ac:dyDescent="0.25">
      <c r="B381" s="17" t="s">
        <v>102</v>
      </c>
      <c r="C381" s="17" t="s">
        <v>94</v>
      </c>
      <c r="D381" s="17">
        <v>100</v>
      </c>
      <c r="E381" s="17">
        <v>0.155</v>
      </c>
      <c r="F381" s="17">
        <v>0.111</v>
      </c>
      <c r="G381" s="17">
        <v>2</v>
      </c>
      <c r="H381" s="17">
        <v>0.108</v>
      </c>
      <c r="I381" s="17">
        <v>5.0000000000000001E-3</v>
      </c>
      <c r="J381" s="17">
        <v>4.6509999999999998</v>
      </c>
    </row>
    <row r="382" spans="2:10" x14ac:dyDescent="0.25">
      <c r="B382" s="17"/>
      <c r="C382" s="17" t="s">
        <v>95</v>
      </c>
      <c r="D382" s="17">
        <v>100</v>
      </c>
      <c r="E382" s="17">
        <v>0.14799999999999999</v>
      </c>
      <c r="F382" s="17">
        <v>0.104</v>
      </c>
      <c r="G382" s="17"/>
      <c r="H382" s="17"/>
      <c r="I382" s="17"/>
      <c r="J382" s="17"/>
    </row>
    <row r="383" spans="2:10" x14ac:dyDescent="0.25">
      <c r="B383" s="17" t="s">
        <v>55</v>
      </c>
      <c r="C383" s="17" t="s">
        <v>66</v>
      </c>
      <c r="D383" s="17">
        <v>150</v>
      </c>
      <c r="E383" s="17">
        <v>0.16800000000000001</v>
      </c>
      <c r="F383" s="17">
        <v>0.125</v>
      </c>
      <c r="G383" s="17">
        <v>2</v>
      </c>
      <c r="H383" s="17">
        <v>0.14000000000000001</v>
      </c>
      <c r="I383" s="17">
        <v>2.1999999999999999E-2</v>
      </c>
      <c r="J383" s="17">
        <v>15.757999999999999</v>
      </c>
    </row>
    <row r="384" spans="2:10" x14ac:dyDescent="0.25">
      <c r="B384" s="17"/>
      <c r="C384" s="17" t="s">
        <v>67</v>
      </c>
      <c r="D384" s="17">
        <v>150</v>
      </c>
      <c r="E384" s="17">
        <v>0.2</v>
      </c>
      <c r="F384" s="17">
        <v>0.156</v>
      </c>
      <c r="G384" s="17"/>
      <c r="H384" s="17"/>
      <c r="I384" s="17"/>
      <c r="J384" s="17"/>
    </row>
    <row r="385" spans="2:10" x14ac:dyDescent="0.25">
      <c r="B385" s="17" t="s">
        <v>134</v>
      </c>
      <c r="C385" s="17" t="s">
        <v>68</v>
      </c>
      <c r="D385" s="17">
        <v>200</v>
      </c>
      <c r="E385" s="17">
        <v>0.22700000000000001</v>
      </c>
      <c r="F385" s="17">
        <v>0.184</v>
      </c>
      <c r="G385" s="17">
        <v>2</v>
      </c>
      <c r="H385" s="17">
        <v>0.191</v>
      </c>
      <c r="I385" s="17">
        <v>0.01</v>
      </c>
      <c r="J385" s="17">
        <v>5.444</v>
      </c>
    </row>
    <row r="386" spans="2:10" x14ac:dyDescent="0.25">
      <c r="B386" s="17"/>
      <c r="C386" s="17" t="s">
        <v>69</v>
      </c>
      <c r="D386" s="17">
        <v>200</v>
      </c>
      <c r="E386" s="17">
        <v>0.24199999999999999</v>
      </c>
      <c r="F386" s="17">
        <v>0.19800000000000001</v>
      </c>
      <c r="G386" s="17"/>
      <c r="H386" s="17"/>
      <c r="I386" s="17"/>
      <c r="J386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EC95-08C5-480A-B7E2-2B8715430E1A}">
  <dimension ref="A1:AA1000"/>
  <sheetViews>
    <sheetView zoomScale="93" zoomScaleNormal="50" workbookViewId="0">
      <selection activeCell="J23" sqref="J23:J62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20.69921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Plate3_RawData_11_29!E190</f>
        <v>4.2000000000000003E-2</v>
      </c>
      <c r="C2" s="20">
        <f>AVERAGE(B2,B3)</f>
        <v>4.2000000000000003E-2</v>
      </c>
      <c r="D2" s="20">
        <f>100*(STDEV(B2,B3)/C2)</f>
        <v>0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Plate3_RawData_11_29!E191</f>
        <v>4.2000000000000003E-2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1.55E-2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Plate3_RawData_11_29!E274</f>
        <v>4.2000000000000003E-2</v>
      </c>
      <c r="C4" s="56">
        <v>4.2000000000000003E-2</v>
      </c>
      <c r="D4" s="20">
        <f>100*(STDEV(B4,B5)/C4)</f>
        <v>21.886638465297832</v>
      </c>
      <c r="E4" s="19"/>
      <c r="F4" s="20">
        <f>C4-$C$2</f>
        <v>0</v>
      </c>
      <c r="G4" s="19"/>
      <c r="H4" s="20">
        <v>0</v>
      </c>
      <c r="I4" s="19"/>
      <c r="J4" s="19"/>
      <c r="K4" s="21">
        <v>50</v>
      </c>
      <c r="L4" s="20">
        <f>F8</f>
        <v>5.2999999999999999E-2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Plate3_RawData_11_29!E275</f>
        <v>5.5E-2</v>
      </c>
      <c r="C5" s="18" t="s">
        <v>306</v>
      </c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9.7500000000000003E-2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Plate3_RawData_11_29!E276</f>
        <v>5.8000000000000003E-2</v>
      </c>
      <c r="C6" s="20">
        <f>AVERAGE(B6,B7)</f>
        <v>5.7500000000000002E-2</v>
      </c>
      <c r="D6" s="20">
        <f>100*(STDEV(B6,B7)/C6)</f>
        <v>1.2297509238026925</v>
      </c>
      <c r="E6" s="19"/>
      <c r="F6" s="20">
        <f>C6-$C$2</f>
        <v>1.55E-2</v>
      </c>
      <c r="G6" s="19"/>
      <c r="H6" s="20">
        <v>12.5</v>
      </c>
      <c r="I6" s="19"/>
      <c r="J6" s="19"/>
      <c r="K6" s="21">
        <v>150</v>
      </c>
      <c r="L6" s="20">
        <f>F12</f>
        <v>0.155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Plate3_RawData_11_29!E277</f>
        <v>5.7000000000000002E-2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0.19499999999999998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Plate3_RawData_11_29!E278</f>
        <v>9.2999999999999999E-2</v>
      </c>
      <c r="C8" s="20">
        <f>AVERAGE(B8,B9)</f>
        <v>9.5000000000000001E-2</v>
      </c>
      <c r="D8" s="20">
        <f>100*(STDEV(B8,B9)/C8)</f>
        <v>2.9772917102591503</v>
      </c>
      <c r="E8" s="19"/>
      <c r="F8" s="20">
        <f>C8-$C$2</f>
        <v>5.2999999999999999E-2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Plate3_RawData_11_29!E279</f>
        <v>9.7000000000000003E-2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Plate3_RawData_11_29!E280</f>
        <v>0.13300000000000001</v>
      </c>
      <c r="C10" s="20">
        <f>AVERAGE(B10,B11)</f>
        <v>0.13950000000000001</v>
      </c>
      <c r="D10" s="20">
        <f>100*(STDEV(B10,B11)/C10)</f>
        <v>6.5895255594445201</v>
      </c>
      <c r="E10" s="19"/>
      <c r="F10" s="20">
        <f>C10-$C$2</f>
        <v>9.7500000000000003E-2</v>
      </c>
      <c r="G10" s="19"/>
      <c r="H10" s="20">
        <v>100</v>
      </c>
      <c r="I10" s="19"/>
      <c r="J10" s="20"/>
      <c r="K10" s="18" t="s">
        <v>15</v>
      </c>
      <c r="L10" s="20">
        <v>2.2000000000000001E-3</v>
      </c>
      <c r="M10" s="20"/>
    </row>
    <row r="11" spans="1:26" ht="15.75" customHeight="1" x14ac:dyDescent="0.3">
      <c r="A11" s="20" t="s">
        <v>160</v>
      </c>
      <c r="B11" s="20">
        <f>Plate3_RawData_11_29!E281</f>
        <v>0.14599999999999999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Plate3_RawData_11_29!E282</f>
        <v>0.19800000000000001</v>
      </c>
      <c r="C12" s="20">
        <f>AVERAGE(B12,B13)</f>
        <v>0.19700000000000001</v>
      </c>
      <c r="D12" s="20">
        <f>100*(STDEV(B12,B13)/C12)</f>
        <v>0.71787490475791693</v>
      </c>
      <c r="E12" s="19"/>
      <c r="F12" s="20">
        <f>C12-$C$2</f>
        <v>0.155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Plate3_RawData_11_29!E283</f>
        <v>0.19600000000000001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Plate3_RawData_11_29!E284</f>
        <v>0.23599999999999999</v>
      </c>
      <c r="C14" s="20">
        <f>AVERAGE(B14,B15)</f>
        <v>0.23699999999999999</v>
      </c>
      <c r="D14" s="20">
        <f>100*(STDEV(B14,B15)/C14)</f>
        <v>0.59671458327978755</v>
      </c>
      <c r="E14" s="19"/>
      <c r="F14" s="20">
        <f>C14-$C$2</f>
        <v>0.19499999999999998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Plate3_RawData_11_29!E285</f>
        <v>0.23799999999999999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Plate3_RawData_11_29!E293</f>
        <v>0.14299999999999999</v>
      </c>
      <c r="C21" s="24">
        <f>AVERAGE(B21,B22)</f>
        <v>0.155</v>
      </c>
      <c r="D21" s="31">
        <f>100*(STDEV(B21,B22)/C21)</f>
        <v>10.948750160307844</v>
      </c>
      <c r="E21" s="24">
        <f>C21-$C$2</f>
        <v>0.11299999999999999</v>
      </c>
      <c r="F21" s="24">
        <f>(E21-$L$10)/$L$9</f>
        <v>110.8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Plate3_RawData_11_29!E294</f>
        <v>0.16700000000000001</v>
      </c>
      <c r="C22" s="24"/>
      <c r="D22" s="24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89" t="s">
        <v>169</v>
      </c>
      <c r="B23" s="20">
        <f>Plate3_RawData_11_29!E295</f>
        <v>0.11600000000000001</v>
      </c>
      <c r="C23" s="24">
        <f>AVERAGE(B23,B24)</f>
        <v>0.11799999999999999</v>
      </c>
      <c r="D23" s="24">
        <f>100*(STDEV(B23,B24)/C23)</f>
        <v>2.3969721396154093</v>
      </c>
      <c r="E23" s="24">
        <f>C23-$C$2</f>
        <v>7.5999999999999984E-2</v>
      </c>
      <c r="F23" s="24">
        <f>(E23-$L$10)/$L$9</f>
        <v>73.799999999999983</v>
      </c>
      <c r="G23" s="20"/>
      <c r="H23" s="20"/>
      <c r="I23" s="20"/>
      <c r="J23">
        <v>94.2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Plate3_RawData_11_29!E296</f>
        <v>0.12</v>
      </c>
      <c r="C24" s="24"/>
      <c r="D24" s="24"/>
      <c r="E24" s="24"/>
      <c r="F24" s="24"/>
      <c r="H24" s="20"/>
      <c r="I24" s="20"/>
      <c r="J24">
        <v>40.700000000000003</v>
      </c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55" t="s">
        <v>337</v>
      </c>
      <c r="B25" s="20">
        <f>Plate3_RawData_11_29!E297</f>
        <v>6.5000000000000002E-2</v>
      </c>
      <c r="C25" s="25">
        <f>AVERAGE(B25,B26)</f>
        <v>6.9500000000000006E-2</v>
      </c>
      <c r="D25" s="25">
        <f>100*(STDEV(B25,B26)/C25)</f>
        <v>9.156778461408523</v>
      </c>
      <c r="E25" s="25">
        <f>C25-$C$2</f>
        <v>2.7500000000000004E-2</v>
      </c>
      <c r="F25" s="25">
        <f>(E25-$L$10)/$L$9</f>
        <v>25.300000000000004</v>
      </c>
      <c r="H25" s="20"/>
      <c r="I25" s="20"/>
      <c r="J25">
        <v>97.2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55"/>
      <c r="B26" s="20">
        <f>Plate3_RawData_11_29!E298</f>
        <v>7.3999999999999996E-2</v>
      </c>
      <c r="C26" s="25"/>
      <c r="D26" s="25"/>
      <c r="E26" s="25"/>
      <c r="F26" s="25"/>
      <c r="H26" s="20"/>
      <c r="I26" s="20"/>
      <c r="J26">
        <v>55.7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38" t="s">
        <v>338</v>
      </c>
      <c r="B27" s="20">
        <f>Plate3_RawData_11_29!E299</f>
        <v>9.4E-2</v>
      </c>
      <c r="C27" s="24">
        <f>AVERAGE(B27,B28)</f>
        <v>9.5500000000000002E-2</v>
      </c>
      <c r="D27" s="25">
        <f>100*(STDEV(B27,B28)/C27)</f>
        <v>2.2212778466593139</v>
      </c>
      <c r="E27" s="24">
        <f>C27-$C$2</f>
        <v>5.3499999999999999E-2</v>
      </c>
      <c r="F27" s="24">
        <f>(E27-$L$10)/$L$9</f>
        <v>51.3</v>
      </c>
      <c r="J27">
        <v>66.2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38"/>
      <c r="B28" s="20">
        <f>Plate3_RawData_11_29!E300</f>
        <v>9.7000000000000003E-2</v>
      </c>
      <c r="C28" s="24"/>
      <c r="D28" s="24"/>
      <c r="E28" s="24"/>
      <c r="F28" s="24"/>
      <c r="J28">
        <v>107.7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8" t="s">
        <v>340</v>
      </c>
      <c r="B29" s="20">
        <f>Plate3_RawData_11_29!E301</f>
        <v>7.8E-2</v>
      </c>
      <c r="C29" s="25">
        <f>AVERAGE(B29,B30)</f>
        <v>7.8E-2</v>
      </c>
      <c r="D29" s="25">
        <f>100*(STDEV(B29,B30)/C29)</f>
        <v>0</v>
      </c>
      <c r="E29" s="24">
        <f>C29-$C$2</f>
        <v>3.5999999999999997E-2</v>
      </c>
      <c r="F29" s="24">
        <f>(E29-$L$10)/$L$9</f>
        <v>33.799999999999997</v>
      </c>
      <c r="H29" s="20"/>
      <c r="I29" s="20"/>
      <c r="J29">
        <v>63.2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8"/>
      <c r="B30" s="20">
        <f>Plate3_RawData_11_29!E302</f>
        <v>7.8E-2</v>
      </c>
      <c r="C30" s="25"/>
      <c r="D30" s="25"/>
      <c r="E30" s="25"/>
      <c r="F30" s="25"/>
      <c r="H30" s="20"/>
      <c r="I30" s="20"/>
      <c r="J30">
        <v>179.2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89" t="s">
        <v>169</v>
      </c>
      <c r="B31" s="20">
        <f>Plate3_RawData_11_29!E303</f>
        <v>0.115</v>
      </c>
      <c r="C31" s="24">
        <f>AVERAGE(B31,B32)</f>
        <v>0.1145</v>
      </c>
      <c r="D31" s="24">
        <f>100*(STDEV(B31,B32)/C31)</f>
        <v>0.61756050758650494</v>
      </c>
      <c r="E31" s="24">
        <f>C31-$C$2</f>
        <v>7.2500000000000009E-2</v>
      </c>
      <c r="F31" s="24">
        <f>(E31-$L$10)/$L$9</f>
        <v>70.300000000000011</v>
      </c>
      <c r="H31" s="20"/>
      <c r="I31" s="20"/>
      <c r="J31">
        <v>38.700000000000003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Plate3_RawData_11_29!E304</f>
        <v>0.114</v>
      </c>
      <c r="C32" s="24"/>
      <c r="D32" s="25"/>
      <c r="E32" s="24"/>
      <c r="F32" s="24"/>
      <c r="H32" s="18"/>
      <c r="I32" s="20"/>
      <c r="J32">
        <v>119.2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8" t="s">
        <v>341</v>
      </c>
      <c r="B33" s="20">
        <f>Plate3_RawData_11_29!E305</f>
        <v>7.2999999999999995E-2</v>
      </c>
      <c r="C33" s="24">
        <f>AVERAGE(B33,B34)</f>
        <v>7.7499999999999999E-2</v>
      </c>
      <c r="D33" s="25">
        <f>100*(STDEV(B33,B34)/C33)</f>
        <v>8.2115626202308807</v>
      </c>
      <c r="E33" s="24">
        <f>C33-$C$2</f>
        <v>3.5499999999999997E-2</v>
      </c>
      <c r="F33" s="24">
        <f>(E33-$L$10)/$L$9</f>
        <v>33.299999999999997</v>
      </c>
      <c r="H33" s="18"/>
      <c r="I33" s="20"/>
      <c r="J33">
        <v>120.7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8"/>
      <c r="B34" s="20">
        <f>Plate3_RawData_11_29!E306</f>
        <v>8.2000000000000003E-2</v>
      </c>
      <c r="C34" s="24"/>
      <c r="D34" s="24"/>
      <c r="E34" s="24"/>
      <c r="F34" s="24"/>
      <c r="H34" s="18"/>
      <c r="I34" s="20"/>
      <c r="J34">
        <v>44.7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0" t="s">
        <v>342</v>
      </c>
      <c r="B35" s="20">
        <f>Plate3_RawData_11_29!E307</f>
        <v>9.2999999999999999E-2</v>
      </c>
      <c r="C35" s="25">
        <f>AVERAGE(B35,B36)</f>
        <v>9.9500000000000005E-2</v>
      </c>
      <c r="D35" s="25">
        <f>100*(STDEV(B35,B36)/C35)</f>
        <v>9.2385810607287588</v>
      </c>
      <c r="E35" s="25">
        <f>C35-$C$2</f>
        <v>5.7500000000000002E-2</v>
      </c>
      <c r="F35" s="25">
        <f>(E35-$L$10)/$L$9</f>
        <v>55.300000000000004</v>
      </c>
      <c r="I35" s="20"/>
      <c r="J35">
        <v>159.19999999999999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/>
      <c r="B36" s="20">
        <f>Plate3_RawData_11_29!E308</f>
        <v>0.106</v>
      </c>
      <c r="C36" s="25"/>
      <c r="D36" s="25"/>
      <c r="E36" s="25"/>
      <c r="F36" s="25"/>
      <c r="H36" s="20"/>
      <c r="I36" s="20"/>
      <c r="J36">
        <v>56.2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77" t="s">
        <v>274</v>
      </c>
      <c r="B37" s="20">
        <f>Plate3_RawData_11_29!E309</f>
        <v>0.13600000000000001</v>
      </c>
      <c r="C37" s="24">
        <f>AVERAGE(B37,B38)</f>
        <v>0.14300000000000002</v>
      </c>
      <c r="D37" s="25">
        <f>100*(STDEV(B37,B38)/C37)</f>
        <v>6.9227237318962613</v>
      </c>
      <c r="E37" s="24">
        <f>C37-$C$2</f>
        <v>0.10100000000000001</v>
      </c>
      <c r="F37" s="24">
        <f>(E37-$L$10)/$L$9</f>
        <v>98.800000000000011</v>
      </c>
      <c r="H37" s="20"/>
      <c r="I37" s="20"/>
      <c r="J37">
        <v>50.2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77"/>
      <c r="B38" s="20">
        <f>Plate3_RawData_11_29!E310</f>
        <v>0.15</v>
      </c>
      <c r="C38" s="24"/>
      <c r="D38" s="24"/>
      <c r="E38" s="24"/>
      <c r="F38" s="24"/>
      <c r="H38" s="20"/>
      <c r="I38" s="20"/>
      <c r="J38">
        <v>44.7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8" t="s">
        <v>343</v>
      </c>
      <c r="B39" s="20">
        <f>Plate3_RawData_11_29!E311</f>
        <v>0.13500000000000001</v>
      </c>
      <c r="C39" s="25">
        <f>AVERAGE(B39,B40)</f>
        <v>0.13350000000000001</v>
      </c>
      <c r="D39" s="25">
        <f>100*(STDEV(B39,B40)/C39)</f>
        <v>1.5890040026664003</v>
      </c>
      <c r="E39" s="24">
        <f>C39-$C$2</f>
        <v>9.1499999999999998E-2</v>
      </c>
      <c r="F39" s="24">
        <f>(E39-$L$10)/$L$9</f>
        <v>89.3</v>
      </c>
      <c r="H39" s="20"/>
      <c r="I39" s="20"/>
      <c r="J39">
        <v>87.7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/>
      <c r="B40" s="20">
        <f>Plate3_RawData_11_29!E312</f>
        <v>0.13200000000000001</v>
      </c>
      <c r="C40" s="25"/>
      <c r="D40" s="25"/>
      <c r="E40" s="25"/>
      <c r="F40" s="25"/>
      <c r="H40" s="20"/>
      <c r="I40" s="20"/>
      <c r="J40">
        <v>174.2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0" t="s">
        <v>344</v>
      </c>
      <c r="B41" s="20">
        <f>Plate3_RawData_11_29!E313</f>
        <v>8.2000000000000003E-2</v>
      </c>
      <c r="C41" s="24">
        <f>AVERAGE(B41,B42)</f>
        <v>8.3999999999999991E-2</v>
      </c>
      <c r="D41" s="25">
        <f>100*(STDEV(B41,B42)/C41)</f>
        <v>3.3671751485073607</v>
      </c>
      <c r="E41" s="24">
        <f>C41-$C$2</f>
        <v>4.1999999999999989E-2</v>
      </c>
      <c r="F41" s="24">
        <f>(E41-$L$10)/$L$9</f>
        <v>39.79999999999999</v>
      </c>
      <c r="H41" s="20"/>
      <c r="J41">
        <v>13.7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/>
      <c r="B42" s="20">
        <f>Plate3_RawData_11_29!E314</f>
        <v>8.5999999999999993E-2</v>
      </c>
      <c r="C42" s="24"/>
      <c r="D42" s="24"/>
      <c r="E42" s="24"/>
      <c r="F42" s="24"/>
      <c r="H42" s="20"/>
      <c r="J42">
        <v>41.7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168</v>
      </c>
      <c r="B43" s="20">
        <f>Plate3_RawData_11_29!E315</f>
        <v>0.188</v>
      </c>
      <c r="C43" s="24">
        <f>AVERAGE(B43,B44)</f>
        <v>0.186</v>
      </c>
      <c r="D43" s="25">
        <f>100*(STDEV(B43,B44)/C43)</f>
        <v>1.5206597444872005</v>
      </c>
      <c r="E43" s="24">
        <f>C43-$C$2</f>
        <v>0.14399999999999999</v>
      </c>
      <c r="F43" s="24">
        <f>(E43-$L$10)/$L$9</f>
        <v>141.79999999999998</v>
      </c>
      <c r="H43" s="20"/>
      <c r="J43">
        <v>37.200000000000003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Plate3_RawData_11_29!E316</f>
        <v>0.184</v>
      </c>
      <c r="C44" s="24"/>
      <c r="D44" s="24"/>
      <c r="E44" s="24"/>
      <c r="F44" s="24"/>
      <c r="H44" s="20"/>
      <c r="J44">
        <v>90.2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38" t="s">
        <v>345</v>
      </c>
      <c r="B45" s="20">
        <f>Plate3_RawData_11_29!E317</f>
        <v>0.11899999999999999</v>
      </c>
      <c r="C45" s="25">
        <f>AVERAGE(B45,B46)</f>
        <v>0.1245</v>
      </c>
      <c r="D45" s="25">
        <f>100*(STDEV(B45,B46)/C45)</f>
        <v>6.2475297936160885</v>
      </c>
      <c r="E45" s="25">
        <f>C45-$C$2</f>
        <v>8.249999999999999E-2</v>
      </c>
      <c r="F45" s="25">
        <f>(E45-$L$10)/$L$9</f>
        <v>80.3</v>
      </c>
      <c r="H45" s="20"/>
      <c r="J45">
        <v>81.7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/>
      <c r="B46" s="20">
        <f>Plate3_RawData_11_29!E318</f>
        <v>0.13</v>
      </c>
      <c r="C46" s="25"/>
      <c r="D46" s="25"/>
      <c r="E46" s="25"/>
      <c r="F46" s="25"/>
      <c r="H46" s="20"/>
      <c r="J46">
        <v>15.7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8" t="s">
        <v>346</v>
      </c>
      <c r="B47" s="20">
        <f>Plate3_RawData_11_29!E319</f>
        <v>9.0999999999999998E-2</v>
      </c>
      <c r="C47" s="24">
        <f>AVERAGE(B47,B48)</f>
        <v>9.2999999999999999E-2</v>
      </c>
      <c r="D47" s="25">
        <f>100*(STDEV(B47,B48)/C47)</f>
        <v>3.0413194889744011</v>
      </c>
      <c r="E47" s="24">
        <f>C47-$C$2</f>
        <v>5.0999999999999997E-2</v>
      </c>
      <c r="F47" s="24">
        <f>(E47-$L$10)/$L$9</f>
        <v>48.8</v>
      </c>
      <c r="H47" s="20"/>
      <c r="I47" s="20"/>
      <c r="J47">
        <v>45.2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/>
      <c r="B48" s="20">
        <f>Plate3_RawData_11_29!E320</f>
        <v>9.5000000000000001E-2</v>
      </c>
      <c r="C48" s="24"/>
      <c r="D48" s="24"/>
      <c r="E48" s="24"/>
      <c r="F48" s="24"/>
      <c r="H48" s="20"/>
      <c r="I48" s="20"/>
      <c r="J48">
        <v>16.2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30" t="s">
        <v>347</v>
      </c>
      <c r="B49" s="20">
        <f>Plate3_RawData_11_29!E321</f>
        <v>7.1999999999999995E-2</v>
      </c>
      <c r="C49" s="25">
        <f>AVERAGE(B49,B50)</f>
        <v>7.2499999999999995E-2</v>
      </c>
      <c r="D49" s="25">
        <f>100*(STDEV(B49,B50)/C49)</f>
        <v>0.97531969818834241</v>
      </c>
      <c r="E49" s="24">
        <f>C49-$C$2</f>
        <v>3.0499999999999992E-2</v>
      </c>
      <c r="F49" s="24">
        <f>(E49-$L$10)/$L$9</f>
        <v>28.29999999999999</v>
      </c>
      <c r="H49" s="20"/>
      <c r="I49" s="20"/>
      <c r="J49">
        <v>138.69999999999999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30"/>
      <c r="B50" s="20">
        <f>Plate3_RawData_11_29!E322</f>
        <v>7.2999999999999995E-2</v>
      </c>
      <c r="C50" s="25"/>
      <c r="D50" s="25"/>
      <c r="E50" s="25"/>
      <c r="F50" s="25"/>
      <c r="H50" s="20"/>
      <c r="I50" s="20"/>
      <c r="J50">
        <v>49.2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38" t="s">
        <v>348</v>
      </c>
      <c r="B51" s="20">
        <f>Plate3_RawData_11_29!E323</f>
        <v>0.11600000000000001</v>
      </c>
      <c r="C51" s="24">
        <f>AVERAGE(B51,B52)</f>
        <v>0.1195</v>
      </c>
      <c r="D51" s="24">
        <f>100*(STDEV(B51,B52)/C51)</f>
        <v>4.1420480906324917</v>
      </c>
      <c r="E51" s="24">
        <f>C51-$C$2</f>
        <v>7.7499999999999986E-2</v>
      </c>
      <c r="F51" s="24">
        <f>(E51-$L$10)/$L$9</f>
        <v>75.3</v>
      </c>
      <c r="H51" s="20"/>
      <c r="I51" s="20"/>
      <c r="J51">
        <v>47.7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38"/>
      <c r="B52" s="20">
        <f>Plate3_RawData_11_29!E324</f>
        <v>0.123</v>
      </c>
      <c r="C52" s="24"/>
      <c r="D52" s="24"/>
      <c r="E52" s="24"/>
      <c r="F52" s="24"/>
      <c r="H52" s="20"/>
      <c r="I52" s="20"/>
      <c r="J52">
        <v>102.2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30" t="s">
        <v>349</v>
      </c>
      <c r="B53" s="20">
        <f>Plate3_RawData_11_29!E325</f>
        <v>7.0000000000000007E-2</v>
      </c>
      <c r="C53" s="24">
        <f>AVERAGE(B53,B54)</f>
        <v>0.10500000000000001</v>
      </c>
      <c r="D53" s="31">
        <f>100*(STDEV(B53,B54)/C53)</f>
        <v>47.14045207910317</v>
      </c>
      <c r="E53" s="24">
        <f>C53-$C$2</f>
        <v>6.3E-2</v>
      </c>
      <c r="F53" s="24">
        <f>(E53-$L$10)/$L$9</f>
        <v>60.8</v>
      </c>
      <c r="H53" s="20"/>
      <c r="I53" s="20"/>
      <c r="J53">
        <v>193.7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30"/>
      <c r="B54" s="20">
        <f>Plate3_RawData_11_29!E326</f>
        <v>0.14000000000000001</v>
      </c>
      <c r="C54" s="24"/>
      <c r="D54" s="24"/>
      <c r="E54" s="24"/>
      <c r="F54" s="24"/>
      <c r="H54" s="20"/>
      <c r="I54" s="20"/>
      <c r="J54">
        <v>80.2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30" t="s">
        <v>350</v>
      </c>
      <c r="B55" s="20">
        <f>Plate3_RawData_11_29!E327</f>
        <v>8.5000000000000006E-2</v>
      </c>
      <c r="C55" s="25">
        <f>AVERAGE(B55,B56)</f>
        <v>8.7999999999999995E-2</v>
      </c>
      <c r="D55" s="25">
        <f>100*(STDEV(B55,B56)/C55)</f>
        <v>4.8211825989991812</v>
      </c>
      <c r="E55" s="25">
        <f>C55-$C$2</f>
        <v>4.5999999999999992E-2</v>
      </c>
      <c r="F55" s="25">
        <f>(E55-$L$10)/$L$9</f>
        <v>43.79999999999999</v>
      </c>
      <c r="H55" s="20"/>
      <c r="I55" s="20"/>
      <c r="J55">
        <v>39.200000000000003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30"/>
      <c r="B56" s="20">
        <f>Plate3_RawData_11_29!E328</f>
        <v>9.0999999999999998E-2</v>
      </c>
      <c r="C56" s="25"/>
      <c r="D56" s="25"/>
      <c r="E56" s="25"/>
      <c r="F56" s="25"/>
      <c r="H56" s="20"/>
      <c r="I56" s="20"/>
      <c r="J56">
        <v>106.2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38" t="s">
        <v>351</v>
      </c>
      <c r="B57" s="20">
        <f>Plate3_RawData_11_29!E329</f>
        <v>9.4E-2</v>
      </c>
      <c r="C57" s="24">
        <f>AVERAGE(B57,B58)</f>
        <v>9.4500000000000001E-2</v>
      </c>
      <c r="D57" s="25">
        <f>100*(STDEV(B57,B58)/C57)</f>
        <v>0.74826114411274935</v>
      </c>
      <c r="E57" s="24">
        <f>C57-$C$2</f>
        <v>5.2499999999999998E-2</v>
      </c>
      <c r="F57" s="24">
        <f>(E57-$L$10)/$L$9</f>
        <v>50.3</v>
      </c>
      <c r="H57" s="20"/>
      <c r="I57" s="20"/>
      <c r="J57">
        <v>139.69999999999999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38"/>
      <c r="B58" s="20">
        <f>Plate3_RawData_11_29!E330</f>
        <v>9.5000000000000001E-2</v>
      </c>
      <c r="C58" s="24"/>
      <c r="D58" s="24"/>
      <c r="E58" s="24"/>
      <c r="F58" s="24"/>
      <c r="H58" s="20"/>
      <c r="I58" s="20"/>
      <c r="J58">
        <v>105.2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25" t="s">
        <v>352</v>
      </c>
      <c r="B59" s="20">
        <f>Plate3_RawData_11_29!E331</f>
        <v>4.4999999999999998E-2</v>
      </c>
      <c r="C59" s="25">
        <f>AVERAGE(B59,B60)</f>
        <v>4.4499999999999998E-2</v>
      </c>
      <c r="D59" s="25">
        <f>100*(STDEV(B59,B60)/C59)</f>
        <v>1.5890040026664005</v>
      </c>
      <c r="E59" s="24">
        <f>C59-$C$2</f>
        <v>2.4999999999999953E-3</v>
      </c>
      <c r="F59" s="24">
        <f>(E59-$L$10)/$L$9</f>
        <v>0.29999999999999516</v>
      </c>
      <c r="H59" s="20"/>
      <c r="I59" s="20"/>
      <c r="J59">
        <v>43.2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25"/>
      <c r="B60" s="20">
        <f>Plate3_RawData_11_29!E332</f>
        <v>4.3999999999999997E-2</v>
      </c>
      <c r="C60" s="25"/>
      <c r="D60" s="25"/>
      <c r="E60" s="25"/>
      <c r="F60" s="25"/>
      <c r="H60" s="20"/>
      <c r="I60" s="20"/>
      <c r="J60">
        <v>110.7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38" t="s">
        <v>285</v>
      </c>
      <c r="B61" s="20">
        <f>Plate3_RawData_11_29!E333</f>
        <v>0.16700000000000001</v>
      </c>
      <c r="C61" s="24">
        <f>AVERAGE(B61,B62)</f>
        <v>0.17549999999999999</v>
      </c>
      <c r="D61" s="24">
        <f>100*(STDEV(B61,B62)/C61)</f>
        <v>6.8494673961090022</v>
      </c>
      <c r="E61" s="24">
        <f>C61-$C$2</f>
        <v>0.13349999999999998</v>
      </c>
      <c r="F61" s="24">
        <f>(E61-$L$10)/$L$9</f>
        <v>131.29999999999998</v>
      </c>
      <c r="H61" s="20"/>
      <c r="I61" s="20"/>
      <c r="J61">
        <v>11.2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38"/>
      <c r="B62" s="20">
        <f>Plate3_RawData_11_29!E334</f>
        <v>0.184</v>
      </c>
      <c r="C62" s="24"/>
      <c r="D62" s="24"/>
      <c r="E62" s="24"/>
      <c r="F62" s="24"/>
      <c r="H62" s="20"/>
      <c r="I62" s="20"/>
      <c r="J62">
        <v>79.2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38" t="s">
        <v>353</v>
      </c>
      <c r="B63" s="20">
        <f>Plate3_RawData_11_29!E335</f>
        <v>0.14599999999999999</v>
      </c>
      <c r="C63" s="24">
        <f>AVERAGE(B63,B64)</f>
        <v>0.151</v>
      </c>
      <c r="D63" s="24">
        <f>100*(STDEV(B63,B64)/C63)</f>
        <v>4.6828263654738285</v>
      </c>
      <c r="E63" s="24">
        <f>C63-$C$2</f>
        <v>0.10899999999999999</v>
      </c>
      <c r="F63" s="24">
        <f>(E63-$L$10)/$L$9</f>
        <v>106.79999999999998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38"/>
      <c r="B64" s="20">
        <f>Plate3_RawData_11_29!E336</f>
        <v>0.156</v>
      </c>
      <c r="C64" s="24"/>
      <c r="D64" s="24"/>
      <c r="E64" s="24"/>
      <c r="F64" s="2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38" t="s">
        <v>339</v>
      </c>
      <c r="B65" s="20">
        <f>Plate3_RawData_11_29!E337</f>
        <v>0.161</v>
      </c>
      <c r="C65" s="25">
        <f>AVERAGE(B65,B66)</f>
        <v>0.17099999999999999</v>
      </c>
      <c r="D65" s="25">
        <f>100*(STDEV(B65,B66)/C65)</f>
        <v>8.2702547507198503</v>
      </c>
      <c r="E65" s="25">
        <f>C65-$C$2</f>
        <v>0.12899999999999998</v>
      </c>
      <c r="F65" s="25">
        <f>(E65-$L$10)/$L$9</f>
        <v>126.79999999999997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38"/>
      <c r="B66" s="20">
        <f>Plate3_RawData_11_29!E338</f>
        <v>0.18099999999999999</v>
      </c>
      <c r="C66" s="25"/>
      <c r="D66" s="25"/>
      <c r="E66" s="25"/>
      <c r="F66" s="2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30" t="s">
        <v>169</v>
      </c>
      <c r="B67" s="20">
        <f>Plate3_RawData_11_29!E339</f>
        <v>0.12</v>
      </c>
      <c r="C67" s="24">
        <f>AVERAGE(B67,B68)</f>
        <v>0.11749999999999999</v>
      </c>
      <c r="D67" s="25">
        <f>100*(STDEV(B67,B68)/C67)</f>
        <v>3.0089650263257286</v>
      </c>
      <c r="E67" s="24">
        <f>C67-$C$2</f>
        <v>7.5499999999999984E-2</v>
      </c>
      <c r="F67" s="24">
        <f>(E67-$L$10)/$L$9</f>
        <v>73.299999999999983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30"/>
      <c r="B68" s="20">
        <f>Plate3_RawData_11_29!E340</f>
        <v>0.115</v>
      </c>
      <c r="C68" s="24"/>
      <c r="D68" s="24"/>
      <c r="E68" s="24"/>
      <c r="F68" s="24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30" t="s">
        <v>354</v>
      </c>
      <c r="B69" s="20">
        <f>Plate3_RawData_11_29!E341</f>
        <v>0.125</v>
      </c>
      <c r="C69" s="25">
        <f>AVERAGE(B69,B70)</f>
        <v>0.1265</v>
      </c>
      <c r="D69" s="25">
        <f>100*(STDEV(B69,B70)/C69)</f>
        <v>1.6769330779127627</v>
      </c>
      <c r="E69" s="24">
        <f>C69-$C$2</f>
        <v>8.4499999999999992E-2</v>
      </c>
      <c r="F69" s="24">
        <f>(E69-$L$10)/$L$9</f>
        <v>82.3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30"/>
      <c r="B70" s="20">
        <f>Plate3_RawData_11_29!E342</f>
        <v>0.128</v>
      </c>
      <c r="C70" s="25"/>
      <c r="D70" s="25"/>
      <c r="E70" s="25"/>
      <c r="F70" s="2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77" t="s">
        <v>170</v>
      </c>
      <c r="B71" s="20">
        <f>Plate3_RawData_11_29!E343</f>
        <v>8.2000000000000003E-2</v>
      </c>
      <c r="C71" s="24">
        <f>AVERAGE(B71,B72)</f>
        <v>8.3500000000000005E-2</v>
      </c>
      <c r="D71" s="24">
        <f>100*(STDEV(B71,B72)/C71)</f>
        <v>2.5405034054606519</v>
      </c>
      <c r="E71" s="24">
        <f>C71-$C$2</f>
        <v>4.1500000000000002E-2</v>
      </c>
      <c r="F71" s="24">
        <f>(E71-$L$10)/$L$9</f>
        <v>39.300000000000004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77"/>
      <c r="B72" s="20">
        <f>Plate3_RawData_11_29!E344</f>
        <v>8.5000000000000006E-2</v>
      </c>
      <c r="C72" s="24"/>
      <c r="D72" s="24"/>
      <c r="E72" s="24"/>
      <c r="F72" s="24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38" t="s">
        <v>289</v>
      </c>
      <c r="B73" s="20">
        <f>Plate3_RawData_11_29!E345</f>
        <v>5.8999999999999997E-2</v>
      </c>
      <c r="C73" s="24">
        <f>AVERAGE(B73,B74)</f>
        <v>6.0499999999999998E-2</v>
      </c>
      <c r="D73" s="24">
        <f>100*(STDEV(B73,B74)/C73)</f>
        <v>3.5063146174539579</v>
      </c>
      <c r="E73" s="24">
        <f>C73-$C$2</f>
        <v>1.8499999999999996E-2</v>
      </c>
      <c r="F73" s="24">
        <f>(E73-$L$10)/$L$9</f>
        <v>16.299999999999994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38"/>
      <c r="B74" s="20">
        <f>Plate3_RawData_11_29!E346</f>
        <v>6.2E-2</v>
      </c>
      <c r="C74" s="24"/>
      <c r="D74" s="24"/>
      <c r="E74" s="24"/>
      <c r="F74" s="24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38" t="s">
        <v>355</v>
      </c>
      <c r="B75" s="20">
        <f>Plate3_RawData_11_29!E347</f>
        <v>0.2</v>
      </c>
      <c r="C75" s="25">
        <f>AVERAGE(B75,B76)</f>
        <v>0.20100000000000001</v>
      </c>
      <c r="D75" s="25">
        <f>100*(STDEV(B75,B76)/C75)</f>
        <v>0.7035888370015404</v>
      </c>
      <c r="E75" s="25">
        <f>C75-$C$2</f>
        <v>0.159</v>
      </c>
      <c r="F75" s="25">
        <f>(E75-$L$10)/$L$9</f>
        <v>156.79999999999998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38"/>
      <c r="B76" s="20">
        <f>Plate3_RawData_11_29!E348</f>
        <v>0.20200000000000001</v>
      </c>
      <c r="C76" s="25"/>
      <c r="D76" s="25"/>
      <c r="E76" s="25"/>
      <c r="F76" s="25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30" t="s">
        <v>356</v>
      </c>
      <c r="B77" s="20">
        <f>Plate3_RawData_11_29!E349</f>
        <v>0.11600000000000001</v>
      </c>
      <c r="C77" s="24">
        <f>AVERAGE(B77,B78)</f>
        <v>0.11749999999999999</v>
      </c>
      <c r="D77" s="25">
        <f>100*(STDEV(B77,B78)/C77)</f>
        <v>1.8053790157954337</v>
      </c>
      <c r="E77" s="24">
        <f>C77-$C$2</f>
        <v>7.5499999999999984E-2</v>
      </c>
      <c r="F77" s="24">
        <f>(E77-$L$10)/$L$9</f>
        <v>73.299999999999983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30"/>
      <c r="B78" s="20">
        <f>Plate3_RawData_11_29!E350</f>
        <v>0.11899999999999999</v>
      </c>
      <c r="C78" s="24"/>
      <c r="D78" s="24"/>
      <c r="E78" s="24"/>
      <c r="F78" s="24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30" t="s">
        <v>357</v>
      </c>
      <c r="B79" s="20">
        <f>Plate3_RawData_11_29!E351</f>
        <v>7.5999999999999998E-2</v>
      </c>
      <c r="C79" s="25">
        <f>AVERAGE(B79,B80)</f>
        <v>7.8E-2</v>
      </c>
      <c r="D79" s="25">
        <f>100*(STDEV(B79,B80)/C79)</f>
        <v>3.6261886214694776</v>
      </c>
      <c r="E79" s="24">
        <f>C79-$C$2</f>
        <v>3.5999999999999997E-2</v>
      </c>
      <c r="F79" s="24">
        <f>(E79-$L$10)/$L$9</f>
        <v>33.799999999999997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30"/>
      <c r="B80" s="20">
        <f>Plate3_RawData_11_29!E352</f>
        <v>0.08</v>
      </c>
      <c r="C80" s="25"/>
      <c r="D80" s="25"/>
      <c r="E80" s="25"/>
      <c r="F80" s="25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38" t="s">
        <v>293</v>
      </c>
      <c r="B81" s="20">
        <f>Plate3_RawData_11_29!E353</f>
        <v>0.20399999999999999</v>
      </c>
      <c r="C81" s="24">
        <f>AVERAGE(B81,B82)</f>
        <v>0.20399999999999999</v>
      </c>
      <c r="D81" s="24">
        <f>100*(STDEV(B81,B82)/C81)</f>
        <v>0</v>
      </c>
      <c r="E81" s="24">
        <f>C81-$C$2</f>
        <v>0.16199999999999998</v>
      </c>
      <c r="F81" s="24">
        <f>(E81-$L$10)/$L$9</f>
        <v>159.79999999999995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38"/>
      <c r="B82" s="20">
        <f>Plate3_RawData_11_29!E354</f>
        <v>0.20399999999999999</v>
      </c>
      <c r="C82" s="24"/>
      <c r="D82" s="24"/>
      <c r="E82" s="24"/>
      <c r="F82" s="24"/>
      <c r="G82" s="9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38" t="s">
        <v>358</v>
      </c>
      <c r="B83" s="20">
        <f>Plate3_RawData_11_29!E355</f>
        <v>0.17100000000000001</v>
      </c>
      <c r="C83" s="24">
        <f>AVERAGE(B83,B84)</f>
        <v>0.17849999999999999</v>
      </c>
      <c r="D83" s="25">
        <f>100*(STDEV(B83,B84)/C83)</f>
        <v>5.9420737914835877</v>
      </c>
      <c r="E83" s="24">
        <f>C83-$C$2</f>
        <v>0.13649999999999998</v>
      </c>
      <c r="F83" s="24">
        <f>(E83-$L$10)/$L$9</f>
        <v>134.29999999999998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38"/>
      <c r="B84" s="20">
        <f>Plate3_RawData_11_29!E356</f>
        <v>0.186</v>
      </c>
      <c r="C84" s="24"/>
      <c r="D84" s="24"/>
      <c r="E84" s="24"/>
      <c r="F84" s="24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30" t="s">
        <v>359</v>
      </c>
      <c r="B85" s="20">
        <f>Plate3_RawData_11_29!E357</f>
        <v>7.8E-2</v>
      </c>
      <c r="C85" s="25">
        <f>AVERAGE(B85,B86)</f>
        <v>0.13200000000000001</v>
      </c>
      <c r="D85" s="32">
        <f>100*(STDEV(B85,B86)/C85)</f>
        <v>57.854191187990232</v>
      </c>
      <c r="E85" s="25">
        <f>C85-$C$2</f>
        <v>0.09</v>
      </c>
      <c r="F85" s="25">
        <f>(E85-$L$10)/$L$9</f>
        <v>87.8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30"/>
      <c r="B86" s="20">
        <f>Plate3_RawData_11_29!E358</f>
        <v>0.186</v>
      </c>
      <c r="C86" s="25"/>
      <c r="D86" s="25"/>
      <c r="E86" s="25"/>
      <c r="F86" s="25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30" t="s">
        <v>361</v>
      </c>
      <c r="B87" s="20">
        <f>Plate3_RawData_11_29!E359</f>
        <v>7.0999999999999994E-2</v>
      </c>
      <c r="C87" s="24">
        <f>AVERAGE(B87,B88)</f>
        <v>7.2999999999999995E-2</v>
      </c>
      <c r="D87" s="25">
        <f>100*(STDEV(B87,B88)/C87)</f>
        <v>3.874557705131771</v>
      </c>
      <c r="E87" s="24">
        <f>C87-$C$2</f>
        <v>3.0999999999999993E-2</v>
      </c>
      <c r="F87" s="24">
        <f>(E87-$L$10)/$L$9</f>
        <v>28.79999999999999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30"/>
      <c r="B88" s="20">
        <f>Plate3_RawData_11_29!E360</f>
        <v>7.4999999999999997E-2</v>
      </c>
      <c r="C88" s="24"/>
      <c r="D88" s="24"/>
      <c r="E88" s="24"/>
      <c r="F88" s="24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38" t="s">
        <v>362</v>
      </c>
      <c r="B89" s="20">
        <f>Plate3_RawData_11_29!E361</f>
        <v>0.13400000000000001</v>
      </c>
      <c r="C89" s="25">
        <f>AVERAGE(B89,B90)</f>
        <v>0.13550000000000001</v>
      </c>
      <c r="D89" s="25">
        <f>100*(STDEV(B89,B90)/C89)</f>
        <v>1.565550069047708</v>
      </c>
      <c r="E89" s="24">
        <f>C89-$C$2</f>
        <v>9.35E-2</v>
      </c>
      <c r="F89" s="24">
        <f>(E89-$L$10)/$L$9</f>
        <v>91.3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38"/>
      <c r="B90" s="20">
        <f>Plate3_RawData_11_29!E362</f>
        <v>0.13700000000000001</v>
      </c>
      <c r="C90" s="25"/>
      <c r="D90" s="25"/>
      <c r="E90" s="25"/>
      <c r="F90" s="25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78" t="s">
        <v>363</v>
      </c>
      <c r="B91" s="20">
        <f>Plate3_RawData_11_29!E363</f>
        <v>0.191</v>
      </c>
      <c r="C91" s="24">
        <f>AVERAGE(B91,B92)</f>
        <v>0.20550000000000002</v>
      </c>
      <c r="D91" s="24">
        <f>100*(STDEV(B91,B92)/C91)</f>
        <v>9.9786358415619834</v>
      </c>
      <c r="E91" s="24">
        <f>C91-$C$2</f>
        <v>0.16350000000000001</v>
      </c>
      <c r="F91" s="24">
        <f>(E91-$L$10)/$L$9</f>
        <v>161.29999999999998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78"/>
      <c r="B92" s="20">
        <f>Plate3_RawData_11_29!E364</f>
        <v>0.22</v>
      </c>
      <c r="C92" s="24"/>
      <c r="D92" s="24"/>
      <c r="E92" s="24"/>
      <c r="F92" s="24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77" t="s">
        <v>298</v>
      </c>
      <c r="B93" s="20">
        <f>Plate3_RawData_11_29!E365</f>
        <v>7.5999999999999998E-2</v>
      </c>
      <c r="C93" s="24">
        <f>AVERAGE(B93,B94)</f>
        <v>7.9500000000000001E-2</v>
      </c>
      <c r="D93" s="24">
        <f>100*(STDEV(B93,B94)/C93)</f>
        <v>6.2260974444098576</v>
      </c>
      <c r="E93" s="24">
        <f>C93-$C$2</f>
        <v>3.7499999999999999E-2</v>
      </c>
      <c r="F93" s="24">
        <f>(E93-$L$10)/$L$9</f>
        <v>35.299999999999997</v>
      </c>
      <c r="G93" s="9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77"/>
      <c r="B94" s="20">
        <f>Plate3_RawData_11_29!E366</f>
        <v>8.3000000000000004E-2</v>
      </c>
      <c r="C94" s="24"/>
      <c r="D94" s="24"/>
      <c r="E94" s="24"/>
      <c r="F94" s="24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55" t="s">
        <v>364</v>
      </c>
      <c r="B95" s="20">
        <f>Plate3_RawData_11_29!E367</f>
        <v>0.19600000000000001</v>
      </c>
      <c r="C95" s="25">
        <f>AVERAGE(B95,B96)</f>
        <v>0.19400000000000001</v>
      </c>
      <c r="D95" s="25">
        <f>100*(STDEV(B95,B96)/C95)</f>
        <v>1.4579521261578312</v>
      </c>
      <c r="E95" s="25">
        <f>C95-$C$2</f>
        <v>0.152</v>
      </c>
      <c r="F95" s="25">
        <f>(E95-$L$10)/$L$9</f>
        <v>149.79999999999998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55"/>
      <c r="B96" s="20">
        <f>Plate3_RawData_11_29!E368</f>
        <v>0.192</v>
      </c>
      <c r="C96" s="25"/>
      <c r="D96" s="25"/>
      <c r="E96" s="25"/>
      <c r="F96" s="25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38" t="s">
        <v>365</v>
      </c>
      <c r="B97" s="20">
        <f>Plate3_RawData_11_29!E369</f>
        <v>9.4E-2</v>
      </c>
      <c r="C97" s="24">
        <f>AVERAGE(B97,B98)</f>
        <v>9.7500000000000003E-2</v>
      </c>
      <c r="D97" s="25">
        <f>100*(STDEV(B97,B98)/C97)</f>
        <v>5.0766640700572685</v>
      </c>
      <c r="E97" s="24">
        <f>C97-$C$2</f>
        <v>5.5500000000000001E-2</v>
      </c>
      <c r="F97" s="24">
        <f>(E97-$L$10)/$L$9</f>
        <v>53.3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38"/>
      <c r="B98" s="20">
        <f>Plate3_RawData_11_29!E370</f>
        <v>0.10100000000000001</v>
      </c>
      <c r="C98" s="24"/>
      <c r="D98" s="24"/>
      <c r="E98" s="24"/>
      <c r="F98" s="24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30" t="s">
        <v>366</v>
      </c>
      <c r="B99" s="20">
        <f>Plate3_RawData_11_29!E371</f>
        <v>9.0999999999999998E-2</v>
      </c>
      <c r="C99" s="25">
        <f>AVERAGE(B99,B100)</f>
        <v>9.0499999999999997E-2</v>
      </c>
      <c r="D99" s="25">
        <f>100*(STDEV(B99,B100)/C99)</f>
        <v>0.78133345987463887</v>
      </c>
      <c r="E99" s="24">
        <f>C99-$C$2</f>
        <v>4.8499999999999995E-2</v>
      </c>
      <c r="F99" s="24">
        <f>(E99-$L$10)/$L$9</f>
        <v>46.29999999999999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30"/>
      <c r="B100" s="20">
        <f>Plate3_RawData_11_29!E372</f>
        <v>0.09</v>
      </c>
      <c r="C100" s="25"/>
      <c r="D100" s="25"/>
      <c r="E100" s="25"/>
      <c r="F100" s="2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55" t="s">
        <v>367</v>
      </c>
      <c r="B101" s="20">
        <f>Plate3_RawData_11_29!E373</f>
        <v>7.6999999999999999E-2</v>
      </c>
      <c r="C101" s="24">
        <f>AVERAGE(B101,B102)</f>
        <v>7.8E-2</v>
      </c>
      <c r="D101" s="24">
        <f>100*(STDEV(B101,B102)/C101)</f>
        <v>1.8130943107347388</v>
      </c>
      <c r="E101" s="24">
        <f>C101-$C$2</f>
        <v>3.5999999999999997E-2</v>
      </c>
      <c r="F101" s="24">
        <f>(E101-$L$10)/$L$9</f>
        <v>33.799999999999997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55"/>
      <c r="B102" s="20">
        <f>Plate3_RawData_11_29!E374</f>
        <v>7.9000000000000001E-2</v>
      </c>
      <c r="C102" s="24"/>
      <c r="D102" s="24"/>
      <c r="E102" s="24"/>
      <c r="F102" s="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60B9-C357-407A-9B8A-F6C4D6D1CD04}">
  <dimension ref="A2:O386"/>
  <sheetViews>
    <sheetView topLeftCell="A271" workbookViewId="0">
      <selection activeCell="E193" sqref="E193"/>
    </sheetView>
  </sheetViews>
  <sheetFormatPr defaultRowHeight="13.2" x14ac:dyDescent="0.25"/>
  <cols>
    <col min="1" max="1" width="18.59765625" style="1" customWidth="1"/>
    <col min="2" max="2" width="11.3984375" style="1" customWidth="1"/>
    <col min="3" max="16384" width="8.796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305</v>
      </c>
    </row>
    <row r="5" spans="1:2" x14ac:dyDescent="0.25">
      <c r="A5" s="1" t="s">
        <v>19</v>
      </c>
      <c r="B5" s="1" t="s">
        <v>189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45625</v>
      </c>
    </row>
    <row r="8" spans="1:2" x14ac:dyDescent="0.25">
      <c r="A8" s="1" t="s">
        <v>22</v>
      </c>
      <c r="B8" s="3">
        <v>0.62763888888888886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 t="s">
        <v>190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5" t="s">
        <v>35</v>
      </c>
      <c r="C24" s="15" t="s">
        <v>36</v>
      </c>
      <c r="D24" s="8" t="s">
        <v>102</v>
      </c>
      <c r="E24" s="9" t="s">
        <v>50</v>
      </c>
      <c r="F24" s="9" t="s">
        <v>51</v>
      </c>
      <c r="G24" s="9" t="s">
        <v>52</v>
      </c>
      <c r="H24" s="9" t="s">
        <v>131</v>
      </c>
      <c r="I24" s="9" t="s">
        <v>194</v>
      </c>
      <c r="J24" s="9" t="s">
        <v>195</v>
      </c>
      <c r="K24" s="9" t="s">
        <v>196</v>
      </c>
      <c r="L24" s="9" t="s">
        <v>197</v>
      </c>
      <c r="M24" s="9" t="s">
        <v>198</v>
      </c>
      <c r="N24" s="9" t="s">
        <v>199</v>
      </c>
      <c r="O24" s="11" t="s">
        <v>39</v>
      </c>
    </row>
    <row r="25" spans="1:15" x14ac:dyDescent="0.25">
      <c r="B25" s="96"/>
      <c r="C25" s="16"/>
      <c r="D25" s="12">
        <v>100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1" t="s">
        <v>40</v>
      </c>
    </row>
    <row r="26" spans="1:15" x14ac:dyDescent="0.25">
      <c r="B26" s="95" t="s">
        <v>41</v>
      </c>
      <c r="C26" s="15" t="s">
        <v>36</v>
      </c>
      <c r="D26" s="8" t="s">
        <v>102</v>
      </c>
      <c r="E26" s="9" t="s">
        <v>50</v>
      </c>
      <c r="F26" s="9" t="s">
        <v>51</v>
      </c>
      <c r="G26" s="9" t="s">
        <v>52</v>
      </c>
      <c r="H26" s="9" t="s">
        <v>131</v>
      </c>
      <c r="I26" s="9" t="s">
        <v>194</v>
      </c>
      <c r="J26" s="9" t="s">
        <v>195</v>
      </c>
      <c r="K26" s="9" t="s">
        <v>196</v>
      </c>
      <c r="L26" s="9" t="s">
        <v>197</v>
      </c>
      <c r="M26" s="9" t="s">
        <v>198</v>
      </c>
      <c r="N26" s="9" t="s">
        <v>199</v>
      </c>
      <c r="O26" s="11" t="s">
        <v>39</v>
      </c>
    </row>
    <row r="27" spans="1:15" x14ac:dyDescent="0.25">
      <c r="B27" s="96"/>
      <c r="C27" s="16"/>
      <c r="D27" s="12">
        <v>100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1" t="s">
        <v>40</v>
      </c>
    </row>
    <row r="28" spans="1:15" x14ac:dyDescent="0.25">
      <c r="B28" s="95" t="s">
        <v>42</v>
      </c>
      <c r="C28" s="8" t="s">
        <v>98</v>
      </c>
      <c r="D28" s="8" t="s">
        <v>55</v>
      </c>
      <c r="E28" s="9" t="s">
        <v>56</v>
      </c>
      <c r="F28" s="9" t="s">
        <v>57</v>
      </c>
      <c r="G28" s="9" t="s">
        <v>132</v>
      </c>
      <c r="H28" s="9" t="s">
        <v>133</v>
      </c>
      <c r="I28" s="9" t="s">
        <v>200</v>
      </c>
      <c r="J28" s="9" t="s">
        <v>201</v>
      </c>
      <c r="K28" s="9" t="s">
        <v>202</v>
      </c>
      <c r="L28" s="9" t="s">
        <v>203</v>
      </c>
      <c r="M28" s="9" t="s">
        <v>204</v>
      </c>
      <c r="N28" s="9" t="s">
        <v>205</v>
      </c>
      <c r="O28" s="11" t="s">
        <v>39</v>
      </c>
    </row>
    <row r="29" spans="1:15" x14ac:dyDescent="0.25">
      <c r="B29" s="96"/>
      <c r="C29" s="12">
        <v>0</v>
      </c>
      <c r="D29" s="12">
        <v>150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1" t="s">
        <v>40</v>
      </c>
    </row>
    <row r="30" spans="1:15" x14ac:dyDescent="0.25">
      <c r="B30" s="95" t="s">
        <v>47</v>
      </c>
      <c r="C30" s="8" t="s">
        <v>98</v>
      </c>
      <c r="D30" s="8" t="s">
        <v>55</v>
      </c>
      <c r="E30" s="9" t="s">
        <v>56</v>
      </c>
      <c r="F30" s="9" t="s">
        <v>57</v>
      </c>
      <c r="G30" s="9" t="s">
        <v>132</v>
      </c>
      <c r="H30" s="9" t="s">
        <v>133</v>
      </c>
      <c r="I30" s="9" t="s">
        <v>200</v>
      </c>
      <c r="J30" s="9" t="s">
        <v>201</v>
      </c>
      <c r="K30" s="9" t="s">
        <v>202</v>
      </c>
      <c r="L30" s="9" t="s">
        <v>203</v>
      </c>
      <c r="M30" s="9" t="s">
        <v>204</v>
      </c>
      <c r="N30" s="9" t="s">
        <v>205</v>
      </c>
      <c r="O30" s="11" t="s">
        <v>39</v>
      </c>
    </row>
    <row r="31" spans="1:15" x14ac:dyDescent="0.25">
      <c r="B31" s="96"/>
      <c r="C31" s="12">
        <v>0</v>
      </c>
      <c r="D31" s="12">
        <v>150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1" t="s">
        <v>40</v>
      </c>
    </row>
    <row r="32" spans="1:15" x14ac:dyDescent="0.25">
      <c r="B32" s="95" t="s">
        <v>48</v>
      </c>
      <c r="C32" s="8" t="s">
        <v>43</v>
      </c>
      <c r="D32" s="8" t="s">
        <v>134</v>
      </c>
      <c r="E32" s="9" t="s">
        <v>37</v>
      </c>
      <c r="F32" s="9" t="s">
        <v>38</v>
      </c>
      <c r="G32" s="9" t="s">
        <v>135</v>
      </c>
      <c r="H32" s="9" t="s">
        <v>136</v>
      </c>
      <c r="I32" s="9" t="s">
        <v>206</v>
      </c>
      <c r="J32" s="9" t="s">
        <v>207</v>
      </c>
      <c r="K32" s="9" t="s">
        <v>208</v>
      </c>
      <c r="L32" s="9" t="s">
        <v>209</v>
      </c>
      <c r="M32" s="9" t="s">
        <v>210</v>
      </c>
      <c r="N32" s="9" t="s">
        <v>211</v>
      </c>
      <c r="O32" s="11" t="s">
        <v>39</v>
      </c>
    </row>
    <row r="33" spans="1:15" x14ac:dyDescent="0.25">
      <c r="B33" s="96"/>
      <c r="C33" s="12">
        <v>12.5</v>
      </c>
      <c r="D33" s="12">
        <v>200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1" t="s">
        <v>40</v>
      </c>
    </row>
    <row r="34" spans="1:15" x14ac:dyDescent="0.25">
      <c r="B34" s="95" t="s">
        <v>53</v>
      </c>
      <c r="C34" s="8" t="s">
        <v>43</v>
      </c>
      <c r="D34" s="8" t="s">
        <v>134</v>
      </c>
      <c r="E34" s="9" t="s">
        <v>37</v>
      </c>
      <c r="F34" s="9" t="s">
        <v>38</v>
      </c>
      <c r="G34" s="9" t="s">
        <v>135</v>
      </c>
      <c r="H34" s="9" t="s">
        <v>136</v>
      </c>
      <c r="I34" s="9" t="s">
        <v>206</v>
      </c>
      <c r="J34" s="9" t="s">
        <v>207</v>
      </c>
      <c r="K34" s="9" t="s">
        <v>208</v>
      </c>
      <c r="L34" s="9" t="s">
        <v>209</v>
      </c>
      <c r="M34" s="9" t="s">
        <v>210</v>
      </c>
      <c r="N34" s="9" t="s">
        <v>211</v>
      </c>
      <c r="O34" s="11" t="s">
        <v>39</v>
      </c>
    </row>
    <row r="35" spans="1:15" x14ac:dyDescent="0.25">
      <c r="B35" s="96"/>
      <c r="C35" s="12">
        <v>12.5</v>
      </c>
      <c r="D35" s="12">
        <v>200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1" t="s">
        <v>40</v>
      </c>
    </row>
    <row r="36" spans="1:15" x14ac:dyDescent="0.25">
      <c r="B36" s="95" t="s">
        <v>54</v>
      </c>
      <c r="C36" s="8" t="s">
        <v>49</v>
      </c>
      <c r="D36" s="9" t="s">
        <v>44</v>
      </c>
      <c r="E36" s="9" t="s">
        <v>45</v>
      </c>
      <c r="F36" s="9" t="s">
        <v>46</v>
      </c>
      <c r="G36" s="9" t="s">
        <v>137</v>
      </c>
      <c r="H36" s="9" t="s">
        <v>138</v>
      </c>
      <c r="I36" s="9" t="s">
        <v>212</v>
      </c>
      <c r="J36" s="9" t="s">
        <v>213</v>
      </c>
      <c r="K36" s="9" t="s">
        <v>214</v>
      </c>
      <c r="L36" s="9" t="s">
        <v>215</v>
      </c>
      <c r="M36" s="9" t="s">
        <v>216</v>
      </c>
      <c r="N36" s="9" t="s">
        <v>217</v>
      </c>
      <c r="O36" s="11" t="s">
        <v>39</v>
      </c>
    </row>
    <row r="37" spans="1:15" x14ac:dyDescent="0.25">
      <c r="B37" s="96"/>
      <c r="C37" s="12">
        <v>50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1" t="s">
        <v>40</v>
      </c>
    </row>
    <row r="38" spans="1:15" x14ac:dyDescent="0.25">
      <c r="B38" s="95" t="s">
        <v>58</v>
      </c>
      <c r="C38" s="8" t="s">
        <v>49</v>
      </c>
      <c r="D38" s="9" t="s">
        <v>44</v>
      </c>
      <c r="E38" s="9" t="s">
        <v>45</v>
      </c>
      <c r="F38" s="9" t="s">
        <v>46</v>
      </c>
      <c r="G38" s="9" t="s">
        <v>137</v>
      </c>
      <c r="H38" s="9" t="s">
        <v>138</v>
      </c>
      <c r="I38" s="9" t="s">
        <v>212</v>
      </c>
      <c r="J38" s="9" t="s">
        <v>213</v>
      </c>
      <c r="K38" s="9" t="s">
        <v>214</v>
      </c>
      <c r="L38" s="9" t="s">
        <v>215</v>
      </c>
      <c r="M38" s="9" t="s">
        <v>216</v>
      </c>
      <c r="N38" s="9" t="s">
        <v>217</v>
      </c>
      <c r="O38" s="11" t="s">
        <v>39</v>
      </c>
    </row>
    <row r="39" spans="1:15" x14ac:dyDescent="0.25">
      <c r="B39" s="96"/>
      <c r="C39" s="12">
        <v>50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26.1</v>
      </c>
    </row>
    <row r="43" spans="1:15" x14ac:dyDescent="0.25">
      <c r="A43" s="1" t="s">
        <v>59</v>
      </c>
      <c r="B43" s="1">
        <v>26.1</v>
      </c>
    </row>
    <row r="44" spans="1:15" x14ac:dyDescent="0.25">
      <c r="A44" s="1" t="s">
        <v>59</v>
      </c>
      <c r="B44" s="1">
        <v>26.1</v>
      </c>
    </row>
    <row r="45" spans="1:15" x14ac:dyDescent="0.25">
      <c r="A45" s="1" t="s">
        <v>59</v>
      </c>
      <c r="B45" s="1">
        <v>26.1</v>
      </c>
    </row>
    <row r="46" spans="1:15" x14ac:dyDescent="0.25">
      <c r="A46" s="1" t="s">
        <v>59</v>
      </c>
      <c r="B46" s="1">
        <v>26.1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64</v>
      </c>
      <c r="D49" s="17"/>
      <c r="E49" s="17">
        <v>4.2000000000000003E-2</v>
      </c>
      <c r="F49" s="17">
        <v>2</v>
      </c>
      <c r="G49" s="17">
        <v>4.2000000000000003E-2</v>
      </c>
      <c r="H49" s="17">
        <v>0</v>
      </c>
      <c r="I49" s="17">
        <v>0</v>
      </c>
    </row>
    <row r="50" spans="2:9" x14ac:dyDescent="0.25">
      <c r="B50" s="17"/>
      <c r="C50" s="17" t="s">
        <v>65</v>
      </c>
      <c r="D50" s="17"/>
      <c r="E50" s="17">
        <v>4.2000000000000003E-2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70</v>
      </c>
      <c r="D51" s="17"/>
      <c r="E51" s="17">
        <v>0.14299999999999999</v>
      </c>
      <c r="F51" s="17">
        <v>2</v>
      </c>
      <c r="G51" s="17">
        <v>0.155</v>
      </c>
      <c r="H51" s="17">
        <v>1.7000000000000001E-2</v>
      </c>
      <c r="I51" s="17">
        <v>10.885999999999999</v>
      </c>
    </row>
    <row r="52" spans="2:9" x14ac:dyDescent="0.25">
      <c r="B52" s="17"/>
      <c r="C52" s="17" t="s">
        <v>71</v>
      </c>
      <c r="D52" s="17"/>
      <c r="E52" s="17">
        <v>0.16700000000000001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72</v>
      </c>
      <c r="D53" s="17"/>
      <c r="E53" s="17">
        <v>0.11600000000000001</v>
      </c>
      <c r="F53" s="17">
        <v>2</v>
      </c>
      <c r="G53" s="17">
        <v>0.11799999999999999</v>
      </c>
      <c r="H53" s="17">
        <v>3.0000000000000001E-3</v>
      </c>
      <c r="I53" s="17">
        <v>2.6389999999999998</v>
      </c>
    </row>
    <row r="54" spans="2:9" x14ac:dyDescent="0.25">
      <c r="B54" s="17"/>
      <c r="C54" s="17" t="s">
        <v>73</v>
      </c>
      <c r="D54" s="17"/>
      <c r="E54" s="17">
        <v>0.12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74</v>
      </c>
      <c r="D55" s="17"/>
      <c r="E55" s="17">
        <v>6.5000000000000002E-2</v>
      </c>
      <c r="F55" s="17">
        <v>2</v>
      </c>
      <c r="G55" s="17">
        <v>7.0000000000000007E-2</v>
      </c>
      <c r="H55" s="17">
        <v>6.0000000000000001E-3</v>
      </c>
      <c r="I55" s="17">
        <v>9.2390000000000008</v>
      </c>
    </row>
    <row r="56" spans="2:9" x14ac:dyDescent="0.25">
      <c r="B56" s="17"/>
      <c r="C56" s="17" t="s">
        <v>75</v>
      </c>
      <c r="D56" s="17"/>
      <c r="E56" s="17">
        <v>7.3999999999999996E-2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76</v>
      </c>
      <c r="D57" s="17"/>
      <c r="E57" s="17">
        <v>9.4E-2</v>
      </c>
      <c r="F57" s="17">
        <v>2</v>
      </c>
      <c r="G57" s="17">
        <v>9.5000000000000001E-2</v>
      </c>
      <c r="H57" s="17">
        <v>3.0000000000000001E-3</v>
      </c>
      <c r="I57" s="17">
        <v>2.8889999999999998</v>
      </c>
    </row>
    <row r="58" spans="2:9" x14ac:dyDescent="0.25">
      <c r="B58" s="17"/>
      <c r="C58" s="17" t="s">
        <v>77</v>
      </c>
      <c r="D58" s="17"/>
      <c r="E58" s="17">
        <v>9.7000000000000003E-2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78</v>
      </c>
      <c r="D59" s="17"/>
      <c r="E59" s="17">
        <v>7.8E-2</v>
      </c>
      <c r="F59" s="17">
        <v>2</v>
      </c>
      <c r="G59" s="17">
        <v>7.8E-2</v>
      </c>
      <c r="H59" s="17">
        <v>0</v>
      </c>
      <c r="I59" s="17">
        <v>0.18099999999999999</v>
      </c>
    </row>
    <row r="60" spans="2:9" x14ac:dyDescent="0.25">
      <c r="B60" s="17"/>
      <c r="C60" s="17" t="s">
        <v>79</v>
      </c>
      <c r="D60" s="17"/>
      <c r="E60" s="17">
        <v>7.8E-2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80</v>
      </c>
      <c r="D61" s="17"/>
      <c r="E61" s="17">
        <v>0.115</v>
      </c>
      <c r="F61" s="17">
        <v>2</v>
      </c>
      <c r="G61" s="17">
        <v>0.115</v>
      </c>
      <c r="H61" s="17">
        <v>1E-3</v>
      </c>
      <c r="I61" s="17">
        <v>0.61599999999999999</v>
      </c>
    </row>
    <row r="62" spans="2:9" x14ac:dyDescent="0.25">
      <c r="B62" s="17"/>
      <c r="C62" s="17" t="s">
        <v>81</v>
      </c>
      <c r="D62" s="17"/>
      <c r="E62" s="17">
        <v>0.114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82</v>
      </c>
      <c r="D63" s="17"/>
      <c r="E63" s="17">
        <v>7.2999999999999995E-2</v>
      </c>
      <c r="F63" s="17">
        <v>2</v>
      </c>
      <c r="G63" s="17">
        <v>7.8E-2</v>
      </c>
      <c r="H63" s="17">
        <v>6.0000000000000001E-3</v>
      </c>
      <c r="I63" s="17">
        <v>7.4720000000000004</v>
      </c>
    </row>
    <row r="64" spans="2:9" x14ac:dyDescent="0.25">
      <c r="B64" s="17"/>
      <c r="C64" s="17" t="s">
        <v>83</v>
      </c>
      <c r="D64" s="17"/>
      <c r="E64" s="17">
        <v>8.2000000000000003E-2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84</v>
      </c>
      <c r="D65" s="17"/>
      <c r="E65" s="17">
        <v>9.2999999999999999E-2</v>
      </c>
      <c r="F65" s="17">
        <v>2</v>
      </c>
      <c r="G65" s="17">
        <v>0.1</v>
      </c>
      <c r="H65" s="17">
        <v>8.9999999999999993E-3</v>
      </c>
      <c r="I65" s="17">
        <v>9.0030000000000001</v>
      </c>
    </row>
    <row r="66" spans="2:9" x14ac:dyDescent="0.25">
      <c r="B66" s="17"/>
      <c r="C66" s="17" t="s">
        <v>85</v>
      </c>
      <c r="D66" s="17"/>
      <c r="E66" s="17">
        <v>0.106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86</v>
      </c>
      <c r="D67" s="17"/>
      <c r="E67" s="17">
        <v>0.13600000000000001</v>
      </c>
      <c r="F67" s="17">
        <v>2</v>
      </c>
      <c r="G67" s="17">
        <v>0.14299999999999999</v>
      </c>
      <c r="H67" s="17">
        <v>0.01</v>
      </c>
      <c r="I67" s="17">
        <v>6.73</v>
      </c>
    </row>
    <row r="68" spans="2:9" x14ac:dyDescent="0.25">
      <c r="B68" s="17"/>
      <c r="C68" s="17" t="s">
        <v>87</v>
      </c>
      <c r="D68" s="17"/>
      <c r="E68" s="17">
        <v>0.15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139</v>
      </c>
      <c r="D69" s="17"/>
      <c r="E69" s="17">
        <v>0.13500000000000001</v>
      </c>
      <c r="F69" s="17">
        <v>2</v>
      </c>
      <c r="G69" s="17">
        <v>0.13300000000000001</v>
      </c>
      <c r="H69" s="17">
        <v>2E-3</v>
      </c>
      <c r="I69" s="17">
        <v>1.595</v>
      </c>
    </row>
    <row r="70" spans="2:9" x14ac:dyDescent="0.25">
      <c r="B70" s="17"/>
      <c r="C70" s="17" t="s">
        <v>140</v>
      </c>
      <c r="D70" s="17"/>
      <c r="E70" s="17">
        <v>0.13200000000000001</v>
      </c>
      <c r="F70" s="17"/>
      <c r="G70" s="17"/>
      <c r="H70" s="17"/>
      <c r="I70" s="17"/>
    </row>
    <row r="71" spans="2:9" x14ac:dyDescent="0.25">
      <c r="B71" s="17" t="s">
        <v>132</v>
      </c>
      <c r="C71" s="17" t="s">
        <v>141</v>
      </c>
      <c r="D71" s="17"/>
      <c r="E71" s="17">
        <v>8.2000000000000003E-2</v>
      </c>
      <c r="F71" s="17">
        <v>2</v>
      </c>
      <c r="G71" s="17">
        <v>8.4000000000000005E-2</v>
      </c>
      <c r="H71" s="17">
        <v>3.0000000000000001E-3</v>
      </c>
      <c r="I71" s="17">
        <v>3.383</v>
      </c>
    </row>
    <row r="72" spans="2:9" x14ac:dyDescent="0.25">
      <c r="B72" s="17"/>
      <c r="C72" s="17" t="s">
        <v>142</v>
      </c>
      <c r="D72" s="17"/>
      <c r="E72" s="17">
        <v>8.5999999999999993E-2</v>
      </c>
      <c r="F72" s="17"/>
      <c r="G72" s="17"/>
      <c r="H72" s="17"/>
      <c r="I72" s="17"/>
    </row>
    <row r="73" spans="2:9" x14ac:dyDescent="0.25">
      <c r="B73" s="17" t="s">
        <v>135</v>
      </c>
      <c r="C73" s="17" t="s">
        <v>143</v>
      </c>
      <c r="D73" s="17"/>
      <c r="E73" s="17">
        <v>0.188</v>
      </c>
      <c r="F73" s="17">
        <v>2</v>
      </c>
      <c r="G73" s="17">
        <v>0.186</v>
      </c>
      <c r="H73" s="17">
        <v>3.0000000000000001E-3</v>
      </c>
      <c r="I73" s="17">
        <v>1.863</v>
      </c>
    </row>
    <row r="74" spans="2:9" x14ac:dyDescent="0.25">
      <c r="B74" s="17"/>
      <c r="C74" s="17" t="s">
        <v>144</v>
      </c>
      <c r="D74" s="17"/>
      <c r="E74" s="17">
        <v>0.184</v>
      </c>
      <c r="F74" s="17"/>
      <c r="G74" s="17"/>
      <c r="H74" s="17"/>
      <c r="I74" s="17"/>
    </row>
    <row r="75" spans="2:9" x14ac:dyDescent="0.25">
      <c r="B75" s="17" t="s">
        <v>137</v>
      </c>
      <c r="C75" s="17" t="s">
        <v>145</v>
      </c>
      <c r="D75" s="17"/>
      <c r="E75" s="17">
        <v>0.11899999999999999</v>
      </c>
      <c r="F75" s="17">
        <v>2</v>
      </c>
      <c r="G75" s="17">
        <v>0.125</v>
      </c>
      <c r="H75" s="17">
        <v>8.0000000000000002E-3</v>
      </c>
      <c r="I75" s="17">
        <v>6.07</v>
      </c>
    </row>
    <row r="76" spans="2:9" x14ac:dyDescent="0.25">
      <c r="B76" s="17"/>
      <c r="C76" s="17" t="s">
        <v>146</v>
      </c>
      <c r="D76" s="17"/>
      <c r="E76" s="17">
        <v>0.13</v>
      </c>
      <c r="F76" s="17"/>
      <c r="G76" s="17"/>
      <c r="H76" s="17"/>
      <c r="I76" s="17"/>
    </row>
    <row r="77" spans="2:9" x14ac:dyDescent="0.25">
      <c r="B77" s="17" t="s">
        <v>131</v>
      </c>
      <c r="C77" s="17" t="s">
        <v>147</v>
      </c>
      <c r="D77" s="17"/>
      <c r="E77" s="17">
        <v>9.0999999999999998E-2</v>
      </c>
      <c r="F77" s="17">
        <v>2</v>
      </c>
      <c r="G77" s="17">
        <v>9.2999999999999999E-2</v>
      </c>
      <c r="H77" s="17">
        <v>2E-3</v>
      </c>
      <c r="I77" s="17">
        <v>2.5129999999999999</v>
      </c>
    </row>
    <row r="78" spans="2:9" x14ac:dyDescent="0.25">
      <c r="B78" s="17"/>
      <c r="C78" s="17" t="s">
        <v>148</v>
      </c>
      <c r="D78" s="17"/>
      <c r="E78" s="17">
        <v>9.5000000000000001E-2</v>
      </c>
      <c r="F78" s="17"/>
      <c r="G78" s="17"/>
      <c r="H78" s="17"/>
      <c r="I78" s="17"/>
    </row>
    <row r="79" spans="2:9" x14ac:dyDescent="0.25">
      <c r="B79" s="17" t="s">
        <v>133</v>
      </c>
      <c r="C79" s="17" t="s">
        <v>149</v>
      </c>
      <c r="D79" s="17"/>
      <c r="E79" s="17">
        <v>7.1999999999999995E-2</v>
      </c>
      <c r="F79" s="17">
        <v>2</v>
      </c>
      <c r="G79" s="17">
        <v>7.2999999999999995E-2</v>
      </c>
      <c r="H79" s="17">
        <v>0</v>
      </c>
      <c r="I79" s="17">
        <v>0.19500000000000001</v>
      </c>
    </row>
    <row r="80" spans="2:9" x14ac:dyDescent="0.25">
      <c r="B80" s="17"/>
      <c r="C80" s="17" t="s">
        <v>150</v>
      </c>
      <c r="D80" s="17"/>
      <c r="E80" s="17">
        <v>7.2999999999999995E-2</v>
      </c>
      <c r="F80" s="17"/>
      <c r="G80" s="17"/>
      <c r="H80" s="17"/>
      <c r="I80" s="17"/>
    </row>
    <row r="81" spans="2:9" x14ac:dyDescent="0.25">
      <c r="B81" s="17" t="s">
        <v>136</v>
      </c>
      <c r="C81" s="17" t="s">
        <v>151</v>
      </c>
      <c r="D81" s="17"/>
      <c r="E81" s="17">
        <v>0.11600000000000001</v>
      </c>
      <c r="F81" s="17">
        <v>2</v>
      </c>
      <c r="G81" s="17">
        <v>0.11899999999999999</v>
      </c>
      <c r="H81" s="17">
        <v>5.0000000000000001E-3</v>
      </c>
      <c r="I81" s="17">
        <v>4.0339999999999998</v>
      </c>
    </row>
    <row r="82" spans="2:9" x14ac:dyDescent="0.25">
      <c r="B82" s="17"/>
      <c r="C82" s="17" t="s">
        <v>152</v>
      </c>
      <c r="D82" s="17"/>
      <c r="E82" s="17">
        <v>0.123</v>
      </c>
      <c r="F82" s="17"/>
      <c r="G82" s="17"/>
      <c r="H82" s="17"/>
      <c r="I82" s="17"/>
    </row>
    <row r="83" spans="2:9" x14ac:dyDescent="0.25">
      <c r="B83" s="17" t="s">
        <v>138</v>
      </c>
      <c r="C83" s="17" t="s">
        <v>153</v>
      </c>
      <c r="D83" s="17"/>
      <c r="E83" s="17">
        <v>7.0000000000000007E-2</v>
      </c>
      <c r="F83" s="17">
        <v>2</v>
      </c>
      <c r="G83" s="17">
        <v>0.105</v>
      </c>
      <c r="H83" s="17">
        <v>0.05</v>
      </c>
      <c r="I83" s="17">
        <v>47.500999999999998</v>
      </c>
    </row>
    <row r="84" spans="2:9" x14ac:dyDescent="0.25">
      <c r="B84" s="17"/>
      <c r="C84" s="17" t="s">
        <v>154</v>
      </c>
      <c r="D84" s="17"/>
      <c r="E84" s="17">
        <v>0.14000000000000001</v>
      </c>
      <c r="F84" s="17"/>
      <c r="G84" s="17"/>
      <c r="H84" s="17"/>
      <c r="I84" s="17"/>
    </row>
    <row r="85" spans="2:9" x14ac:dyDescent="0.25">
      <c r="B85" s="17" t="s">
        <v>194</v>
      </c>
      <c r="C85" s="17" t="s">
        <v>218</v>
      </c>
      <c r="D85" s="17"/>
      <c r="E85" s="17">
        <v>8.5000000000000006E-2</v>
      </c>
      <c r="F85" s="17">
        <v>2</v>
      </c>
      <c r="G85" s="17">
        <v>8.7999999999999995E-2</v>
      </c>
      <c r="H85" s="17">
        <v>4.0000000000000001E-3</v>
      </c>
      <c r="I85" s="17">
        <v>4.7489999999999997</v>
      </c>
    </row>
    <row r="86" spans="2:9" x14ac:dyDescent="0.25">
      <c r="B86" s="17"/>
      <c r="C86" s="17" t="s">
        <v>219</v>
      </c>
      <c r="D86" s="17"/>
      <c r="E86" s="17">
        <v>9.0999999999999998E-2</v>
      </c>
      <c r="F86" s="17"/>
      <c r="G86" s="17"/>
      <c r="H86" s="17"/>
      <c r="I86" s="17"/>
    </row>
    <row r="87" spans="2:9" x14ac:dyDescent="0.25">
      <c r="B87" s="17" t="s">
        <v>200</v>
      </c>
      <c r="C87" s="17" t="s">
        <v>220</v>
      </c>
      <c r="D87" s="17"/>
      <c r="E87" s="17">
        <v>9.4E-2</v>
      </c>
      <c r="F87" s="17">
        <v>2</v>
      </c>
      <c r="G87" s="17">
        <v>9.4E-2</v>
      </c>
      <c r="H87" s="17">
        <v>1E-3</v>
      </c>
      <c r="I87" s="17">
        <v>1.198</v>
      </c>
    </row>
    <row r="88" spans="2:9" x14ac:dyDescent="0.25">
      <c r="B88" s="17"/>
      <c r="C88" s="17" t="s">
        <v>221</v>
      </c>
      <c r="D88" s="17"/>
      <c r="E88" s="17">
        <v>9.5000000000000001E-2</v>
      </c>
      <c r="F88" s="17"/>
      <c r="G88" s="17"/>
      <c r="H88" s="17"/>
      <c r="I88" s="17"/>
    </row>
    <row r="89" spans="2:9" x14ac:dyDescent="0.25">
      <c r="B89" s="17" t="s">
        <v>206</v>
      </c>
      <c r="C89" s="17" t="s">
        <v>222</v>
      </c>
      <c r="D89" s="17"/>
      <c r="E89" s="17">
        <v>4.4999999999999998E-2</v>
      </c>
      <c r="F89" s="17">
        <v>2</v>
      </c>
      <c r="G89" s="17">
        <v>4.4999999999999998E-2</v>
      </c>
      <c r="H89" s="17">
        <v>0</v>
      </c>
      <c r="I89" s="17">
        <v>0.317</v>
      </c>
    </row>
    <row r="90" spans="2:9" x14ac:dyDescent="0.25">
      <c r="B90" s="17"/>
      <c r="C90" s="17" t="s">
        <v>223</v>
      </c>
      <c r="D90" s="17"/>
      <c r="E90" s="17">
        <v>4.3999999999999997E-2</v>
      </c>
      <c r="F90" s="17"/>
      <c r="G90" s="17"/>
      <c r="H90" s="17"/>
      <c r="I90" s="17"/>
    </row>
    <row r="91" spans="2:9" x14ac:dyDescent="0.25">
      <c r="B91" s="17" t="s">
        <v>212</v>
      </c>
      <c r="C91" s="17" t="s">
        <v>224</v>
      </c>
      <c r="D91" s="17"/>
      <c r="E91" s="17">
        <v>0.16700000000000001</v>
      </c>
      <c r="F91" s="17">
        <v>2</v>
      </c>
      <c r="G91" s="17">
        <v>0.17499999999999999</v>
      </c>
      <c r="H91" s="17">
        <v>1.2E-2</v>
      </c>
      <c r="I91" s="17">
        <v>7.0910000000000002</v>
      </c>
    </row>
    <row r="92" spans="2:9" x14ac:dyDescent="0.25">
      <c r="B92" s="17"/>
      <c r="C92" s="17" t="s">
        <v>225</v>
      </c>
      <c r="D92" s="17"/>
      <c r="E92" s="17">
        <v>0.184</v>
      </c>
      <c r="F92" s="17"/>
      <c r="G92" s="17"/>
      <c r="H92" s="17"/>
      <c r="I92" s="17"/>
    </row>
    <row r="93" spans="2:9" x14ac:dyDescent="0.25">
      <c r="B93" s="17" t="s">
        <v>195</v>
      </c>
      <c r="C93" s="17" t="s">
        <v>226</v>
      </c>
      <c r="D93" s="17"/>
      <c r="E93" s="17">
        <v>0.14599999999999999</v>
      </c>
      <c r="F93" s="17">
        <v>2</v>
      </c>
      <c r="G93" s="17">
        <v>0.151</v>
      </c>
      <c r="H93" s="17">
        <v>7.0000000000000001E-3</v>
      </c>
      <c r="I93" s="17">
        <v>4.5410000000000004</v>
      </c>
    </row>
    <row r="94" spans="2:9" x14ac:dyDescent="0.25">
      <c r="B94" s="17"/>
      <c r="C94" s="17" t="s">
        <v>227</v>
      </c>
      <c r="D94" s="17"/>
      <c r="E94" s="17">
        <v>0.156</v>
      </c>
      <c r="F94" s="17"/>
      <c r="G94" s="17"/>
      <c r="H94" s="17"/>
      <c r="I94" s="17"/>
    </row>
    <row r="95" spans="2:9" x14ac:dyDescent="0.25">
      <c r="B95" s="17" t="s">
        <v>201</v>
      </c>
      <c r="C95" s="17" t="s">
        <v>228</v>
      </c>
      <c r="D95" s="17"/>
      <c r="E95" s="17">
        <v>0.161</v>
      </c>
      <c r="F95" s="17">
        <v>2</v>
      </c>
      <c r="G95" s="17">
        <v>0.17100000000000001</v>
      </c>
      <c r="H95" s="17">
        <v>1.4E-2</v>
      </c>
      <c r="I95" s="17">
        <v>8.3629999999999995</v>
      </c>
    </row>
    <row r="96" spans="2:9" x14ac:dyDescent="0.25">
      <c r="B96" s="17"/>
      <c r="C96" s="17" t="s">
        <v>229</v>
      </c>
      <c r="D96" s="17"/>
      <c r="E96" s="17">
        <v>0.18099999999999999</v>
      </c>
      <c r="F96" s="17"/>
      <c r="G96" s="17"/>
      <c r="H96" s="17"/>
      <c r="I96" s="17"/>
    </row>
    <row r="97" spans="2:9" x14ac:dyDescent="0.25">
      <c r="B97" s="17" t="s">
        <v>207</v>
      </c>
      <c r="C97" s="17" t="s">
        <v>230</v>
      </c>
      <c r="D97" s="17"/>
      <c r="E97" s="17">
        <v>0.12</v>
      </c>
      <c r="F97" s="17">
        <v>2</v>
      </c>
      <c r="G97" s="17">
        <v>0.11700000000000001</v>
      </c>
      <c r="H97" s="17">
        <v>4.0000000000000001E-3</v>
      </c>
      <c r="I97" s="17">
        <v>3.137</v>
      </c>
    </row>
    <row r="98" spans="2:9" x14ac:dyDescent="0.25">
      <c r="B98" s="17"/>
      <c r="C98" s="17" t="s">
        <v>231</v>
      </c>
      <c r="D98" s="17"/>
      <c r="E98" s="17">
        <v>0.115</v>
      </c>
      <c r="F98" s="17"/>
      <c r="G98" s="17"/>
      <c r="H98" s="17"/>
      <c r="I98" s="17"/>
    </row>
    <row r="99" spans="2:9" x14ac:dyDescent="0.25">
      <c r="B99" s="17" t="s">
        <v>213</v>
      </c>
      <c r="C99" s="17" t="s">
        <v>232</v>
      </c>
      <c r="D99" s="17"/>
      <c r="E99" s="17">
        <v>0.125</v>
      </c>
      <c r="F99" s="17">
        <v>2</v>
      </c>
      <c r="G99" s="17">
        <v>0.127</v>
      </c>
      <c r="H99" s="17">
        <v>2E-3</v>
      </c>
      <c r="I99" s="17">
        <v>1.728</v>
      </c>
    </row>
    <row r="100" spans="2:9" x14ac:dyDescent="0.25">
      <c r="B100" s="17"/>
      <c r="C100" s="17" t="s">
        <v>233</v>
      </c>
      <c r="D100" s="17"/>
      <c r="E100" s="17">
        <v>0.128</v>
      </c>
      <c r="F100" s="17"/>
      <c r="G100" s="17"/>
      <c r="H100" s="17"/>
      <c r="I100" s="17"/>
    </row>
    <row r="101" spans="2:9" x14ac:dyDescent="0.25">
      <c r="B101" s="17" t="s">
        <v>196</v>
      </c>
      <c r="C101" s="17" t="s">
        <v>234</v>
      </c>
      <c r="D101" s="17"/>
      <c r="E101" s="17">
        <v>8.2000000000000003E-2</v>
      </c>
      <c r="F101" s="17">
        <v>2</v>
      </c>
      <c r="G101" s="17">
        <v>8.3000000000000004E-2</v>
      </c>
      <c r="H101" s="17">
        <v>2E-3</v>
      </c>
      <c r="I101" s="17">
        <v>2.21</v>
      </c>
    </row>
    <row r="102" spans="2:9" x14ac:dyDescent="0.25">
      <c r="B102" s="17"/>
      <c r="C102" s="17" t="s">
        <v>235</v>
      </c>
      <c r="D102" s="17"/>
      <c r="E102" s="17">
        <v>8.5000000000000006E-2</v>
      </c>
      <c r="F102" s="17"/>
      <c r="G102" s="17"/>
      <c r="H102" s="17"/>
      <c r="I102" s="17"/>
    </row>
    <row r="103" spans="2:9" x14ac:dyDescent="0.25">
      <c r="B103" s="17" t="s">
        <v>202</v>
      </c>
      <c r="C103" s="17" t="s">
        <v>236</v>
      </c>
      <c r="D103" s="17"/>
      <c r="E103" s="17">
        <v>5.8999999999999997E-2</v>
      </c>
      <c r="F103" s="17">
        <v>2</v>
      </c>
      <c r="G103" s="17">
        <v>0.06</v>
      </c>
      <c r="H103" s="17">
        <v>2E-3</v>
      </c>
      <c r="I103" s="17">
        <v>3.169</v>
      </c>
    </row>
    <row r="104" spans="2:9" x14ac:dyDescent="0.25">
      <c r="B104" s="17"/>
      <c r="C104" s="17" t="s">
        <v>237</v>
      </c>
      <c r="D104" s="17"/>
      <c r="E104" s="17">
        <v>6.2E-2</v>
      </c>
      <c r="F104" s="17"/>
      <c r="G104" s="17"/>
      <c r="H104" s="17"/>
      <c r="I104" s="17"/>
    </row>
    <row r="105" spans="2:9" x14ac:dyDescent="0.25">
      <c r="B105" s="17" t="s">
        <v>208</v>
      </c>
      <c r="C105" s="17" t="s">
        <v>238</v>
      </c>
      <c r="D105" s="17"/>
      <c r="E105" s="17">
        <v>0.2</v>
      </c>
      <c r="F105" s="17">
        <v>2</v>
      </c>
      <c r="G105" s="17">
        <v>0.20100000000000001</v>
      </c>
      <c r="H105" s="17">
        <v>1E-3</v>
      </c>
      <c r="I105" s="17">
        <v>0.59799999999999998</v>
      </c>
    </row>
    <row r="106" spans="2:9" x14ac:dyDescent="0.25">
      <c r="B106" s="17"/>
      <c r="C106" s="17" t="s">
        <v>239</v>
      </c>
      <c r="D106" s="17"/>
      <c r="E106" s="17">
        <v>0.20200000000000001</v>
      </c>
      <c r="F106" s="17"/>
      <c r="G106" s="17"/>
      <c r="H106" s="17"/>
      <c r="I106" s="17"/>
    </row>
    <row r="107" spans="2:9" x14ac:dyDescent="0.25">
      <c r="B107" s="17" t="s">
        <v>214</v>
      </c>
      <c r="C107" s="17" t="s">
        <v>240</v>
      </c>
      <c r="D107" s="17"/>
      <c r="E107" s="17">
        <v>0.11600000000000001</v>
      </c>
      <c r="F107" s="17">
        <v>2</v>
      </c>
      <c r="G107" s="17">
        <v>0.11700000000000001</v>
      </c>
      <c r="H107" s="17">
        <v>2E-3</v>
      </c>
      <c r="I107" s="17">
        <v>1.444</v>
      </c>
    </row>
    <row r="108" spans="2:9" x14ac:dyDescent="0.25">
      <c r="B108" s="17"/>
      <c r="C108" s="17" t="s">
        <v>241</v>
      </c>
      <c r="D108" s="17"/>
      <c r="E108" s="17">
        <v>0.11899999999999999</v>
      </c>
      <c r="F108" s="17"/>
      <c r="G108" s="17"/>
      <c r="H108" s="17"/>
      <c r="I108" s="17"/>
    </row>
    <row r="109" spans="2:9" x14ac:dyDescent="0.25">
      <c r="B109" s="17" t="s">
        <v>197</v>
      </c>
      <c r="C109" s="17" t="s">
        <v>242</v>
      </c>
      <c r="D109" s="17"/>
      <c r="E109" s="17">
        <v>7.5999999999999998E-2</v>
      </c>
      <c r="F109" s="17">
        <v>2</v>
      </c>
      <c r="G109" s="17">
        <v>7.8E-2</v>
      </c>
      <c r="H109" s="17">
        <v>3.0000000000000001E-3</v>
      </c>
      <c r="I109" s="17">
        <v>3.984</v>
      </c>
    </row>
    <row r="110" spans="2:9" x14ac:dyDescent="0.25">
      <c r="B110" s="17"/>
      <c r="C110" s="17" t="s">
        <v>243</v>
      </c>
      <c r="D110" s="17"/>
      <c r="E110" s="17">
        <v>0.08</v>
      </c>
      <c r="F110" s="17"/>
      <c r="G110" s="17"/>
      <c r="H110" s="17"/>
      <c r="I110" s="17"/>
    </row>
    <row r="111" spans="2:9" x14ac:dyDescent="0.25">
      <c r="B111" s="17" t="s">
        <v>203</v>
      </c>
      <c r="C111" s="17" t="s">
        <v>244</v>
      </c>
      <c r="D111" s="17"/>
      <c r="E111" s="17">
        <v>0.20399999999999999</v>
      </c>
      <c r="F111" s="17">
        <v>2</v>
      </c>
      <c r="G111" s="17">
        <v>0.20399999999999999</v>
      </c>
      <c r="H111" s="17">
        <v>1E-3</v>
      </c>
      <c r="I111" s="17">
        <v>0.312</v>
      </c>
    </row>
    <row r="112" spans="2:9" x14ac:dyDescent="0.25">
      <c r="B112" s="17"/>
      <c r="C112" s="17" t="s">
        <v>245</v>
      </c>
      <c r="D112" s="17"/>
      <c r="E112" s="17">
        <v>0.20399999999999999</v>
      </c>
      <c r="F112" s="17"/>
      <c r="G112" s="17"/>
      <c r="H112" s="17"/>
      <c r="I112" s="17"/>
    </row>
    <row r="113" spans="2:9" x14ac:dyDescent="0.25">
      <c r="B113" s="17" t="s">
        <v>209</v>
      </c>
      <c r="C113" s="17" t="s">
        <v>246</v>
      </c>
      <c r="D113" s="17"/>
      <c r="E113" s="17">
        <v>0.17100000000000001</v>
      </c>
      <c r="F113" s="17">
        <v>2</v>
      </c>
      <c r="G113" s="17">
        <v>0.17899999999999999</v>
      </c>
      <c r="H113" s="17">
        <v>1.0999999999999999E-2</v>
      </c>
      <c r="I113" s="17">
        <v>6.0110000000000001</v>
      </c>
    </row>
    <row r="114" spans="2:9" x14ac:dyDescent="0.25">
      <c r="B114" s="17"/>
      <c r="C114" s="17" t="s">
        <v>247</v>
      </c>
      <c r="D114" s="17"/>
      <c r="E114" s="17">
        <v>0.186</v>
      </c>
      <c r="F114" s="17"/>
      <c r="G114" s="17"/>
      <c r="H114" s="17"/>
      <c r="I114" s="17"/>
    </row>
    <row r="115" spans="2:9" x14ac:dyDescent="0.25">
      <c r="B115" s="17" t="s">
        <v>215</v>
      </c>
      <c r="C115" s="17" t="s">
        <v>248</v>
      </c>
      <c r="D115" s="17"/>
      <c r="E115" s="17">
        <v>7.8E-2</v>
      </c>
      <c r="F115" s="17">
        <v>2</v>
      </c>
      <c r="G115" s="17">
        <v>0.13200000000000001</v>
      </c>
      <c r="H115" s="17">
        <v>7.5999999999999998E-2</v>
      </c>
      <c r="I115" s="17">
        <v>57.607999999999997</v>
      </c>
    </row>
    <row r="116" spans="2:9" x14ac:dyDescent="0.25">
      <c r="B116" s="17"/>
      <c r="C116" s="17" t="s">
        <v>249</v>
      </c>
      <c r="D116" s="17"/>
      <c r="E116" s="17">
        <v>0.186</v>
      </c>
      <c r="F116" s="17"/>
      <c r="G116" s="17"/>
      <c r="H116" s="17"/>
      <c r="I116" s="17"/>
    </row>
    <row r="117" spans="2:9" x14ac:dyDescent="0.25">
      <c r="B117" s="17" t="s">
        <v>198</v>
      </c>
      <c r="C117" s="17" t="s">
        <v>250</v>
      </c>
      <c r="D117" s="17"/>
      <c r="E117" s="17">
        <v>7.0999999999999994E-2</v>
      </c>
      <c r="F117" s="17">
        <v>2</v>
      </c>
      <c r="G117" s="17">
        <v>7.2999999999999995E-2</v>
      </c>
      <c r="H117" s="17">
        <v>3.0000000000000001E-3</v>
      </c>
      <c r="I117" s="17">
        <v>4.2679999999999998</v>
      </c>
    </row>
    <row r="118" spans="2:9" x14ac:dyDescent="0.25">
      <c r="B118" s="17"/>
      <c r="C118" s="17" t="s">
        <v>251</v>
      </c>
      <c r="D118" s="17"/>
      <c r="E118" s="17">
        <v>7.4999999999999997E-2</v>
      </c>
      <c r="F118" s="17"/>
      <c r="G118" s="17"/>
      <c r="H118" s="17"/>
      <c r="I118" s="17"/>
    </row>
    <row r="119" spans="2:9" x14ac:dyDescent="0.25">
      <c r="B119" s="17" t="s">
        <v>204</v>
      </c>
      <c r="C119" s="17" t="s">
        <v>252</v>
      </c>
      <c r="D119" s="17"/>
      <c r="E119" s="17">
        <v>0.13400000000000001</v>
      </c>
      <c r="F119" s="17">
        <v>2</v>
      </c>
      <c r="G119" s="17">
        <v>0.13600000000000001</v>
      </c>
      <c r="H119" s="17">
        <v>2E-3</v>
      </c>
      <c r="I119" s="17">
        <v>1.5109999999999999</v>
      </c>
    </row>
    <row r="120" spans="2:9" x14ac:dyDescent="0.25">
      <c r="B120" s="17"/>
      <c r="C120" s="17" t="s">
        <v>253</v>
      </c>
      <c r="D120" s="17"/>
      <c r="E120" s="17">
        <v>0.13700000000000001</v>
      </c>
      <c r="F120" s="17"/>
      <c r="G120" s="17"/>
      <c r="H120" s="17"/>
      <c r="I120" s="17"/>
    </row>
    <row r="121" spans="2:9" x14ac:dyDescent="0.25">
      <c r="B121" s="17" t="s">
        <v>210</v>
      </c>
      <c r="C121" s="17" t="s">
        <v>254</v>
      </c>
      <c r="D121" s="17"/>
      <c r="E121" s="17">
        <v>0.191</v>
      </c>
      <c r="F121" s="17">
        <v>2</v>
      </c>
      <c r="G121" s="17">
        <v>0.20499999999999999</v>
      </c>
      <c r="H121" s="17">
        <v>2.1000000000000001E-2</v>
      </c>
      <c r="I121" s="17">
        <v>10.19</v>
      </c>
    </row>
    <row r="122" spans="2:9" x14ac:dyDescent="0.25">
      <c r="B122" s="17"/>
      <c r="C122" s="17" t="s">
        <v>255</v>
      </c>
      <c r="D122" s="17"/>
      <c r="E122" s="17">
        <v>0.22</v>
      </c>
      <c r="F122" s="17"/>
      <c r="G122" s="17"/>
      <c r="H122" s="17"/>
      <c r="I122" s="17"/>
    </row>
    <row r="123" spans="2:9" x14ac:dyDescent="0.25">
      <c r="B123" s="17" t="s">
        <v>216</v>
      </c>
      <c r="C123" s="17" t="s">
        <v>256</v>
      </c>
      <c r="D123" s="17"/>
      <c r="E123" s="17">
        <v>7.5999999999999998E-2</v>
      </c>
      <c r="F123" s="17">
        <v>2</v>
      </c>
      <c r="G123" s="17">
        <v>0.08</v>
      </c>
      <c r="H123" s="17">
        <v>5.0000000000000001E-3</v>
      </c>
      <c r="I123" s="17">
        <v>5.6849999999999996</v>
      </c>
    </row>
    <row r="124" spans="2:9" x14ac:dyDescent="0.25">
      <c r="B124" s="17"/>
      <c r="C124" s="17" t="s">
        <v>257</v>
      </c>
      <c r="D124" s="17"/>
      <c r="E124" s="17">
        <v>8.3000000000000004E-2</v>
      </c>
      <c r="F124" s="17"/>
      <c r="G124" s="17"/>
      <c r="H124" s="17"/>
      <c r="I124" s="17"/>
    </row>
    <row r="125" spans="2:9" x14ac:dyDescent="0.25">
      <c r="B125" s="17" t="s">
        <v>199</v>
      </c>
      <c r="C125" s="17" t="s">
        <v>258</v>
      </c>
      <c r="D125" s="17"/>
      <c r="E125" s="17">
        <v>0.19600000000000001</v>
      </c>
      <c r="F125" s="17">
        <v>2</v>
      </c>
      <c r="G125" s="17">
        <v>0.19400000000000001</v>
      </c>
      <c r="H125" s="17">
        <v>3.0000000000000001E-3</v>
      </c>
      <c r="I125" s="17">
        <v>1.387</v>
      </c>
    </row>
    <row r="126" spans="2:9" x14ac:dyDescent="0.25">
      <c r="B126" s="17"/>
      <c r="C126" s="17" t="s">
        <v>259</v>
      </c>
      <c r="D126" s="17"/>
      <c r="E126" s="17">
        <v>0.192</v>
      </c>
      <c r="F126" s="17"/>
      <c r="G126" s="17"/>
      <c r="H126" s="17"/>
      <c r="I126" s="17"/>
    </row>
    <row r="127" spans="2:9" x14ac:dyDescent="0.25">
      <c r="B127" s="17" t="s">
        <v>205</v>
      </c>
      <c r="C127" s="17" t="s">
        <v>260</v>
      </c>
      <c r="D127" s="17"/>
      <c r="E127" s="17">
        <v>9.4E-2</v>
      </c>
      <c r="F127" s="17">
        <v>2</v>
      </c>
      <c r="G127" s="17">
        <v>9.8000000000000004E-2</v>
      </c>
      <c r="H127" s="17">
        <v>5.0000000000000001E-3</v>
      </c>
      <c r="I127" s="17">
        <v>4.7069999999999999</v>
      </c>
    </row>
    <row r="128" spans="2:9" x14ac:dyDescent="0.25">
      <c r="B128" s="17"/>
      <c r="C128" s="17" t="s">
        <v>261</v>
      </c>
      <c r="D128" s="17"/>
      <c r="E128" s="17">
        <v>0.10100000000000001</v>
      </c>
      <c r="F128" s="17"/>
      <c r="G128" s="17"/>
      <c r="H128" s="17"/>
      <c r="I128" s="17"/>
    </row>
    <row r="129" spans="2:9" x14ac:dyDescent="0.25">
      <c r="B129" s="17" t="s">
        <v>211</v>
      </c>
      <c r="C129" s="17" t="s">
        <v>262</v>
      </c>
      <c r="D129" s="17"/>
      <c r="E129" s="17">
        <v>9.0999999999999998E-2</v>
      </c>
      <c r="F129" s="17">
        <v>2</v>
      </c>
      <c r="G129" s="17">
        <v>9.0999999999999998E-2</v>
      </c>
      <c r="H129" s="17">
        <v>1E-3</v>
      </c>
      <c r="I129" s="17">
        <v>0.93500000000000005</v>
      </c>
    </row>
    <row r="130" spans="2:9" x14ac:dyDescent="0.25">
      <c r="B130" s="17"/>
      <c r="C130" s="17" t="s">
        <v>263</v>
      </c>
      <c r="D130" s="17"/>
      <c r="E130" s="17">
        <v>0.09</v>
      </c>
      <c r="F130" s="17"/>
      <c r="G130" s="17"/>
      <c r="H130" s="17"/>
      <c r="I130" s="17"/>
    </row>
    <row r="131" spans="2:9" x14ac:dyDescent="0.25">
      <c r="B131" s="17" t="s">
        <v>217</v>
      </c>
      <c r="C131" s="17" t="s">
        <v>264</v>
      </c>
      <c r="D131" s="17"/>
      <c r="E131" s="17">
        <v>7.6999999999999999E-2</v>
      </c>
      <c r="F131" s="17">
        <v>2</v>
      </c>
      <c r="G131" s="17">
        <v>7.8E-2</v>
      </c>
      <c r="H131" s="17">
        <v>1E-3</v>
      </c>
      <c r="I131" s="17">
        <v>1.728</v>
      </c>
    </row>
    <row r="132" spans="2:9" x14ac:dyDescent="0.25">
      <c r="B132" s="17"/>
      <c r="C132" s="17" t="s">
        <v>265</v>
      </c>
      <c r="D132" s="17"/>
      <c r="E132" s="17">
        <v>7.9000000000000001E-2</v>
      </c>
      <c r="F132" s="17"/>
      <c r="G132" s="17"/>
      <c r="H132" s="17"/>
      <c r="I132" s="17"/>
    </row>
    <row r="133" spans="2:9" x14ac:dyDescent="0.25">
      <c r="B133" s="17" t="s">
        <v>98</v>
      </c>
      <c r="C133" s="17" t="s">
        <v>88</v>
      </c>
      <c r="D133" s="17">
        <v>0</v>
      </c>
      <c r="E133" s="17">
        <v>4.2000000000000003E-2</v>
      </c>
      <c r="F133" s="17">
        <v>2</v>
      </c>
      <c r="G133" s="17">
        <v>4.9000000000000002E-2</v>
      </c>
      <c r="H133" s="17">
        <v>8.9999999999999993E-3</v>
      </c>
      <c r="I133" s="17">
        <v>18.167999999999999</v>
      </c>
    </row>
    <row r="134" spans="2:9" x14ac:dyDescent="0.25">
      <c r="B134" s="17"/>
      <c r="C134" s="17" t="s">
        <v>89</v>
      </c>
      <c r="D134" s="17">
        <v>0</v>
      </c>
      <c r="E134" s="17">
        <v>5.5E-2</v>
      </c>
      <c r="F134" s="17"/>
      <c r="G134" s="17"/>
      <c r="H134" s="17"/>
      <c r="I134" s="17"/>
    </row>
    <row r="135" spans="2:9" x14ac:dyDescent="0.25">
      <c r="B135" s="17" t="s">
        <v>43</v>
      </c>
      <c r="C135" s="17" t="s">
        <v>91</v>
      </c>
      <c r="D135" s="17">
        <v>12.5</v>
      </c>
      <c r="E135" s="17">
        <v>5.8000000000000003E-2</v>
      </c>
      <c r="F135" s="17">
        <v>2</v>
      </c>
      <c r="G135" s="17">
        <v>5.8000000000000003E-2</v>
      </c>
      <c r="H135" s="17">
        <v>1E-3</v>
      </c>
      <c r="I135" s="17">
        <v>1.228</v>
      </c>
    </row>
    <row r="136" spans="2:9" x14ac:dyDescent="0.25">
      <c r="B136" s="17"/>
      <c r="C136" s="17" t="s">
        <v>90</v>
      </c>
      <c r="D136" s="17">
        <v>12.5</v>
      </c>
      <c r="E136" s="17">
        <v>5.7000000000000002E-2</v>
      </c>
      <c r="F136" s="17"/>
      <c r="G136" s="17"/>
      <c r="H136" s="17"/>
      <c r="I136" s="17"/>
    </row>
    <row r="137" spans="2:9" x14ac:dyDescent="0.25">
      <c r="B137" s="17" t="s">
        <v>49</v>
      </c>
      <c r="C137" s="17" t="s">
        <v>92</v>
      </c>
      <c r="D137" s="17">
        <v>50</v>
      </c>
      <c r="E137" s="17">
        <v>9.2999999999999999E-2</v>
      </c>
      <c r="F137" s="17">
        <v>2</v>
      </c>
      <c r="G137" s="17">
        <v>9.5000000000000001E-2</v>
      </c>
      <c r="H137" s="17">
        <v>3.0000000000000001E-3</v>
      </c>
      <c r="I137" s="17">
        <v>2.75</v>
      </c>
    </row>
    <row r="138" spans="2:9" x14ac:dyDescent="0.25">
      <c r="B138" s="17"/>
      <c r="C138" s="17" t="s">
        <v>93</v>
      </c>
      <c r="D138" s="17">
        <v>50</v>
      </c>
      <c r="E138" s="17">
        <v>9.7000000000000003E-2</v>
      </c>
      <c r="F138" s="17"/>
      <c r="G138" s="17"/>
      <c r="H138" s="17"/>
      <c r="I138" s="17"/>
    </row>
    <row r="139" spans="2:9" x14ac:dyDescent="0.25">
      <c r="B139" s="17" t="s">
        <v>102</v>
      </c>
      <c r="C139" s="17" t="s">
        <v>94</v>
      </c>
      <c r="D139" s="17">
        <v>100</v>
      </c>
      <c r="E139" s="17">
        <v>0.13300000000000001</v>
      </c>
      <c r="F139" s="17">
        <v>2</v>
      </c>
      <c r="G139" s="17">
        <v>0.14000000000000001</v>
      </c>
      <c r="H139" s="17">
        <v>8.9999999999999993E-3</v>
      </c>
      <c r="I139" s="17">
        <v>6.734</v>
      </c>
    </row>
    <row r="140" spans="2:9" x14ac:dyDescent="0.25">
      <c r="B140" s="17"/>
      <c r="C140" s="17" t="s">
        <v>95</v>
      </c>
      <c r="D140" s="17">
        <v>100</v>
      </c>
      <c r="E140" s="17">
        <v>0.14599999999999999</v>
      </c>
      <c r="F140" s="17"/>
      <c r="G140" s="17"/>
      <c r="H140" s="17"/>
      <c r="I140" s="17"/>
    </row>
    <row r="141" spans="2:9" x14ac:dyDescent="0.25">
      <c r="B141" s="17" t="s">
        <v>55</v>
      </c>
      <c r="C141" s="17" t="s">
        <v>66</v>
      </c>
      <c r="D141" s="17">
        <v>150</v>
      </c>
      <c r="E141" s="17">
        <v>0.19800000000000001</v>
      </c>
      <c r="F141" s="17">
        <v>2</v>
      </c>
      <c r="G141" s="17">
        <v>0.19700000000000001</v>
      </c>
      <c r="H141" s="17">
        <v>2E-3</v>
      </c>
      <c r="I141" s="17">
        <v>0.78800000000000003</v>
      </c>
    </row>
    <row r="142" spans="2:9" x14ac:dyDescent="0.25">
      <c r="B142" s="17"/>
      <c r="C142" s="17" t="s">
        <v>67</v>
      </c>
      <c r="D142" s="17">
        <v>150</v>
      </c>
      <c r="E142" s="17">
        <v>0.19600000000000001</v>
      </c>
      <c r="F142" s="17"/>
      <c r="G142" s="17"/>
      <c r="H142" s="17"/>
      <c r="I142" s="17"/>
    </row>
    <row r="143" spans="2:9" x14ac:dyDescent="0.25">
      <c r="B143" s="17" t="s">
        <v>134</v>
      </c>
      <c r="C143" s="17" t="s">
        <v>68</v>
      </c>
      <c r="D143" s="17">
        <v>200</v>
      </c>
      <c r="E143" s="17">
        <v>0.23599999999999999</v>
      </c>
      <c r="F143" s="17">
        <v>2</v>
      </c>
      <c r="G143" s="17">
        <v>0.23699999999999999</v>
      </c>
      <c r="H143" s="17">
        <v>2E-3</v>
      </c>
      <c r="I143" s="17">
        <v>0.65700000000000003</v>
      </c>
    </row>
    <row r="144" spans="2:9" x14ac:dyDescent="0.25">
      <c r="B144" s="17"/>
      <c r="C144" s="17" t="s">
        <v>69</v>
      </c>
      <c r="D144" s="17">
        <v>200</v>
      </c>
      <c r="E144" s="17">
        <v>0.23799999999999999</v>
      </c>
      <c r="F144" s="17"/>
      <c r="G144" s="17"/>
      <c r="H144" s="17"/>
      <c r="I144" s="17"/>
    </row>
    <row r="146" spans="1:2" x14ac:dyDescent="0.25">
      <c r="A146" s="4" t="s">
        <v>104</v>
      </c>
      <c r="B146" s="5"/>
    </row>
    <row r="181" spans="1:10" ht="26.4" x14ac:dyDescent="0.25">
      <c r="A181" s="4" t="s">
        <v>105</v>
      </c>
      <c r="B181" s="5"/>
    </row>
    <row r="183" spans="1:10" ht="26.4" x14ac:dyDescent="0.25">
      <c r="B183" s="7" t="s">
        <v>106</v>
      </c>
      <c r="C183" s="7" t="s">
        <v>107</v>
      </c>
      <c r="D183" s="7" t="s">
        <v>35</v>
      </c>
      <c r="E183" s="7" t="s">
        <v>41</v>
      </c>
      <c r="F183" s="7" t="s">
        <v>108</v>
      </c>
      <c r="G183" s="7" t="s">
        <v>109</v>
      </c>
    </row>
    <row r="184" spans="1:10" x14ac:dyDescent="0.25">
      <c r="B184" s="17" t="s">
        <v>104</v>
      </c>
      <c r="C184" s="17" t="s">
        <v>110</v>
      </c>
      <c r="D184" s="17">
        <v>9.6199999999999996E-4</v>
      </c>
      <c r="E184" s="17">
        <v>4.7E-2</v>
      </c>
      <c r="F184" s="17">
        <v>0.998</v>
      </c>
      <c r="G184" s="17" t="s">
        <v>99</v>
      </c>
    </row>
    <row r="186" spans="1:10" x14ac:dyDescent="0.25">
      <c r="A186" s="4" t="s">
        <v>111</v>
      </c>
      <c r="B186" s="5"/>
    </row>
    <row r="187" spans="1:10" x14ac:dyDescent="0.25">
      <c r="A187" s="1" t="s">
        <v>59</v>
      </c>
      <c r="B187" s="1">
        <v>26.1</v>
      </c>
    </row>
    <row r="189" spans="1:10" ht="26.4" x14ac:dyDescent="0.25">
      <c r="B189" s="7" t="s">
        <v>39</v>
      </c>
      <c r="C189" s="7" t="s">
        <v>60</v>
      </c>
      <c r="D189" s="7" t="s">
        <v>40</v>
      </c>
      <c r="E189" s="7">
        <v>500</v>
      </c>
      <c r="F189" s="7" t="s">
        <v>111</v>
      </c>
      <c r="G189" s="7" t="s">
        <v>61</v>
      </c>
      <c r="H189" s="7" t="s">
        <v>4</v>
      </c>
      <c r="I189" s="7" t="s">
        <v>62</v>
      </c>
      <c r="J189" s="7" t="s">
        <v>63</v>
      </c>
    </row>
    <row r="190" spans="1:10" x14ac:dyDescent="0.25">
      <c r="B190" s="17" t="s">
        <v>36</v>
      </c>
      <c r="C190" s="17" t="s">
        <v>64</v>
      </c>
      <c r="D190" s="17"/>
      <c r="E190" s="17">
        <v>4.2000000000000003E-2</v>
      </c>
      <c r="F190" s="17" t="s">
        <v>112</v>
      </c>
      <c r="G190" s="17">
        <v>0</v>
      </c>
      <c r="H190" s="17" t="s">
        <v>99</v>
      </c>
      <c r="I190" s="17" t="s">
        <v>99</v>
      </c>
      <c r="J190" s="17" t="s">
        <v>99</v>
      </c>
    </row>
    <row r="191" spans="1:10" x14ac:dyDescent="0.25">
      <c r="B191" s="17"/>
      <c r="C191" s="17" t="s">
        <v>65</v>
      </c>
      <c r="D191" s="17"/>
      <c r="E191" s="17">
        <v>4.2000000000000003E-2</v>
      </c>
      <c r="F191" s="17" t="s">
        <v>112</v>
      </c>
      <c r="G191" s="17"/>
      <c r="H191" s="17"/>
      <c r="I191" s="17"/>
      <c r="J191" s="17"/>
    </row>
    <row r="192" spans="1:10" x14ac:dyDescent="0.25">
      <c r="B192" s="17" t="s">
        <v>44</v>
      </c>
      <c r="C192" s="17" t="s">
        <v>70</v>
      </c>
      <c r="D192" s="17"/>
      <c r="E192" s="17">
        <v>0.14299999999999999</v>
      </c>
      <c r="F192" s="17">
        <v>99.459000000000003</v>
      </c>
      <c r="G192" s="17">
        <v>2</v>
      </c>
      <c r="H192" s="17">
        <v>111.83</v>
      </c>
      <c r="I192" s="17">
        <v>17.494</v>
      </c>
      <c r="J192" s="17">
        <v>15.644</v>
      </c>
    </row>
    <row r="193" spans="2:10" x14ac:dyDescent="0.25">
      <c r="B193" s="17"/>
      <c r="C193" s="17" t="s">
        <v>71</v>
      </c>
      <c r="D193" s="17"/>
      <c r="E193" s="17">
        <v>0.16700000000000001</v>
      </c>
      <c r="F193" s="17">
        <v>124.2</v>
      </c>
      <c r="G193" s="17"/>
      <c r="H193" s="17"/>
      <c r="I193" s="17"/>
      <c r="J193" s="17"/>
    </row>
    <row r="194" spans="2:10" x14ac:dyDescent="0.25">
      <c r="B194" s="17" t="s">
        <v>50</v>
      </c>
      <c r="C194" s="17" t="s">
        <v>72</v>
      </c>
      <c r="D194" s="17"/>
      <c r="E194" s="17">
        <v>0.11600000000000001</v>
      </c>
      <c r="F194" s="17">
        <v>71.391999999999996</v>
      </c>
      <c r="G194" s="17">
        <v>2</v>
      </c>
      <c r="H194" s="17">
        <v>73.679000000000002</v>
      </c>
      <c r="I194" s="17">
        <v>3.234</v>
      </c>
      <c r="J194" s="17">
        <v>4.3899999999999997</v>
      </c>
    </row>
    <row r="195" spans="2:10" x14ac:dyDescent="0.25">
      <c r="B195" s="17"/>
      <c r="C195" s="17" t="s">
        <v>73</v>
      </c>
      <c r="D195" s="17"/>
      <c r="E195" s="17">
        <v>0.12</v>
      </c>
      <c r="F195" s="17">
        <v>75.965999999999994</v>
      </c>
      <c r="G195" s="17"/>
      <c r="H195" s="17"/>
      <c r="I195" s="17"/>
      <c r="J195" s="17"/>
    </row>
    <row r="196" spans="2:10" x14ac:dyDescent="0.25">
      <c r="B196" s="17" t="s">
        <v>56</v>
      </c>
      <c r="C196" s="17" t="s">
        <v>74</v>
      </c>
      <c r="D196" s="17"/>
      <c r="E196" s="17">
        <v>6.5000000000000002E-2</v>
      </c>
      <c r="F196" s="17">
        <v>18.791</v>
      </c>
      <c r="G196" s="17">
        <v>2</v>
      </c>
      <c r="H196" s="17">
        <v>23.521000000000001</v>
      </c>
      <c r="I196" s="17">
        <v>6.6890000000000001</v>
      </c>
      <c r="J196" s="17">
        <v>28.439</v>
      </c>
    </row>
    <row r="197" spans="2:10" x14ac:dyDescent="0.25">
      <c r="B197" s="17"/>
      <c r="C197" s="17" t="s">
        <v>75</v>
      </c>
      <c r="D197" s="17"/>
      <c r="E197" s="17">
        <v>7.3999999999999996E-2</v>
      </c>
      <c r="F197" s="17">
        <v>28.251000000000001</v>
      </c>
      <c r="G197" s="17"/>
      <c r="H197" s="17"/>
      <c r="I197" s="17"/>
      <c r="J197" s="17"/>
    </row>
    <row r="198" spans="2:10" x14ac:dyDescent="0.25">
      <c r="B198" s="17" t="s">
        <v>37</v>
      </c>
      <c r="C198" s="17" t="s">
        <v>76</v>
      </c>
      <c r="D198" s="17"/>
      <c r="E198" s="17">
        <v>9.4E-2</v>
      </c>
      <c r="F198" s="17">
        <v>48.314</v>
      </c>
      <c r="G198" s="17">
        <v>2</v>
      </c>
      <c r="H198" s="17">
        <v>50.341000000000001</v>
      </c>
      <c r="I198" s="17">
        <v>2.867</v>
      </c>
      <c r="J198" s="17">
        <v>5.6950000000000003</v>
      </c>
    </row>
    <row r="199" spans="2:10" x14ac:dyDescent="0.25">
      <c r="B199" s="17"/>
      <c r="C199" s="17" t="s">
        <v>77</v>
      </c>
      <c r="D199" s="17"/>
      <c r="E199" s="17">
        <v>9.7000000000000003E-2</v>
      </c>
      <c r="F199" s="17">
        <v>52.368000000000002</v>
      </c>
      <c r="G199" s="17"/>
      <c r="H199" s="17"/>
      <c r="I199" s="17"/>
      <c r="J199" s="17"/>
    </row>
    <row r="200" spans="2:10" x14ac:dyDescent="0.25">
      <c r="B200" s="17" t="s">
        <v>45</v>
      </c>
      <c r="C200" s="17" t="s">
        <v>78</v>
      </c>
      <c r="D200" s="17"/>
      <c r="E200" s="17">
        <v>7.8E-2</v>
      </c>
      <c r="F200" s="17">
        <v>32.616999999999997</v>
      </c>
      <c r="G200" s="17">
        <v>2</v>
      </c>
      <c r="H200" s="17">
        <v>32.512999999999998</v>
      </c>
      <c r="I200" s="17">
        <v>0.14699999999999999</v>
      </c>
      <c r="J200" s="17">
        <v>0.45200000000000001</v>
      </c>
    </row>
    <row r="201" spans="2:10" x14ac:dyDescent="0.25">
      <c r="B201" s="17"/>
      <c r="C201" s="17" t="s">
        <v>79</v>
      </c>
      <c r="D201" s="17"/>
      <c r="E201" s="17">
        <v>7.8E-2</v>
      </c>
      <c r="F201" s="17">
        <v>32.408999999999999</v>
      </c>
      <c r="G201" s="17"/>
      <c r="H201" s="17"/>
      <c r="I201" s="17"/>
      <c r="J201" s="17"/>
    </row>
    <row r="202" spans="2:10" x14ac:dyDescent="0.25">
      <c r="B202" s="17" t="s">
        <v>51</v>
      </c>
      <c r="C202" s="17" t="s">
        <v>80</v>
      </c>
      <c r="D202" s="17"/>
      <c r="E202" s="17">
        <v>0.115</v>
      </c>
      <c r="F202" s="17">
        <v>70.975999999999999</v>
      </c>
      <c r="G202" s="17">
        <v>2</v>
      </c>
      <c r="H202" s="17">
        <v>70.456000000000003</v>
      </c>
      <c r="I202" s="17">
        <v>0.73499999999999999</v>
      </c>
      <c r="J202" s="17">
        <v>1.0429999999999999</v>
      </c>
    </row>
    <row r="203" spans="2:10" x14ac:dyDescent="0.25">
      <c r="B203" s="17"/>
      <c r="C203" s="17" t="s">
        <v>81</v>
      </c>
      <c r="D203" s="17"/>
      <c r="E203" s="17">
        <v>0.114</v>
      </c>
      <c r="F203" s="17">
        <v>69.936000000000007</v>
      </c>
      <c r="G203" s="17"/>
      <c r="H203" s="17"/>
      <c r="I203" s="17"/>
      <c r="J203" s="17"/>
    </row>
    <row r="204" spans="2:10" x14ac:dyDescent="0.25">
      <c r="B204" s="17" t="s">
        <v>57</v>
      </c>
      <c r="C204" s="17" t="s">
        <v>82</v>
      </c>
      <c r="D204" s="17"/>
      <c r="E204" s="17">
        <v>7.2999999999999995E-2</v>
      </c>
      <c r="F204" s="17">
        <v>27.523</v>
      </c>
      <c r="G204" s="17">
        <v>2</v>
      </c>
      <c r="H204" s="17">
        <v>31.785</v>
      </c>
      <c r="I204" s="17">
        <v>6.0279999999999996</v>
      </c>
      <c r="J204" s="17">
        <v>18.963000000000001</v>
      </c>
    </row>
    <row r="205" spans="2:10" x14ac:dyDescent="0.25">
      <c r="B205" s="17"/>
      <c r="C205" s="17" t="s">
        <v>83</v>
      </c>
      <c r="D205" s="17"/>
      <c r="E205" s="17">
        <v>8.2000000000000003E-2</v>
      </c>
      <c r="F205" s="17">
        <v>36.046999999999997</v>
      </c>
      <c r="G205" s="17"/>
      <c r="H205" s="17"/>
      <c r="I205" s="17"/>
      <c r="J205" s="17"/>
    </row>
    <row r="206" spans="2:10" x14ac:dyDescent="0.25">
      <c r="B206" s="17" t="s">
        <v>38</v>
      </c>
      <c r="C206" s="17" t="s">
        <v>84</v>
      </c>
      <c r="D206" s="17"/>
      <c r="E206" s="17">
        <v>9.2999999999999999E-2</v>
      </c>
      <c r="F206" s="17">
        <v>48.21</v>
      </c>
      <c r="G206" s="17">
        <v>2</v>
      </c>
      <c r="H206" s="17">
        <v>54.811</v>
      </c>
      <c r="I206" s="17">
        <v>9.3350000000000009</v>
      </c>
      <c r="J206" s="17">
        <v>17.032</v>
      </c>
    </row>
    <row r="207" spans="2:10" x14ac:dyDescent="0.25">
      <c r="B207" s="17"/>
      <c r="C207" s="17" t="s">
        <v>85</v>
      </c>
      <c r="D207" s="17"/>
      <c r="E207" s="17">
        <v>0.106</v>
      </c>
      <c r="F207" s="17">
        <v>61.411999999999999</v>
      </c>
      <c r="G207" s="17"/>
      <c r="H207" s="17"/>
      <c r="I207" s="17"/>
      <c r="J207" s="17"/>
    </row>
    <row r="208" spans="2:10" x14ac:dyDescent="0.25">
      <c r="B208" s="17" t="s">
        <v>46</v>
      </c>
      <c r="C208" s="17" t="s">
        <v>86</v>
      </c>
      <c r="D208" s="17"/>
      <c r="E208" s="17">
        <v>0.13600000000000001</v>
      </c>
      <c r="F208" s="17">
        <v>92.597999999999999</v>
      </c>
      <c r="G208" s="17">
        <v>2</v>
      </c>
      <c r="H208" s="17">
        <v>99.667000000000002</v>
      </c>
      <c r="I208" s="17">
        <v>9.9969999999999999</v>
      </c>
      <c r="J208" s="17">
        <v>10.029999999999999</v>
      </c>
    </row>
    <row r="209" spans="2:10" x14ac:dyDescent="0.25">
      <c r="B209" s="17"/>
      <c r="C209" s="17" t="s">
        <v>87</v>
      </c>
      <c r="D209" s="17"/>
      <c r="E209" s="17">
        <v>0.15</v>
      </c>
      <c r="F209" s="17">
        <v>106.736</v>
      </c>
      <c r="G209" s="17"/>
      <c r="H209" s="17"/>
      <c r="I209" s="17"/>
      <c r="J209" s="17"/>
    </row>
    <row r="210" spans="2:10" x14ac:dyDescent="0.25">
      <c r="B210" s="17" t="s">
        <v>52</v>
      </c>
      <c r="C210" s="17" t="s">
        <v>139</v>
      </c>
      <c r="D210" s="17"/>
      <c r="E210" s="17">
        <v>0.13500000000000001</v>
      </c>
      <c r="F210" s="17">
        <v>90.935000000000002</v>
      </c>
      <c r="G210" s="17">
        <v>2</v>
      </c>
      <c r="H210" s="17">
        <v>89.376000000000005</v>
      </c>
      <c r="I210" s="17">
        <v>2.2050000000000001</v>
      </c>
      <c r="J210" s="17">
        <v>2.4670000000000001</v>
      </c>
    </row>
    <row r="211" spans="2:10" x14ac:dyDescent="0.25">
      <c r="B211" s="17"/>
      <c r="C211" s="17" t="s">
        <v>140</v>
      </c>
      <c r="D211" s="17"/>
      <c r="E211" s="17">
        <v>0.13200000000000001</v>
      </c>
      <c r="F211" s="17">
        <v>87.816000000000003</v>
      </c>
      <c r="G211" s="17"/>
      <c r="H211" s="17"/>
      <c r="I211" s="17"/>
      <c r="J211" s="17"/>
    </row>
    <row r="212" spans="2:10" x14ac:dyDescent="0.25">
      <c r="B212" s="17" t="s">
        <v>132</v>
      </c>
      <c r="C212" s="17" t="s">
        <v>141</v>
      </c>
      <c r="D212" s="17"/>
      <c r="E212" s="17">
        <v>8.2000000000000003E-2</v>
      </c>
      <c r="F212" s="17">
        <v>35.942999999999998</v>
      </c>
      <c r="G212" s="17">
        <v>2</v>
      </c>
      <c r="H212" s="17">
        <v>38.023000000000003</v>
      </c>
      <c r="I212" s="17">
        <v>2.94</v>
      </c>
      <c r="J212" s="17">
        <v>7.7329999999999997</v>
      </c>
    </row>
    <row r="213" spans="2:10" x14ac:dyDescent="0.25">
      <c r="B213" s="17"/>
      <c r="C213" s="17" t="s">
        <v>142</v>
      </c>
      <c r="D213" s="17"/>
      <c r="E213" s="17">
        <v>8.5999999999999993E-2</v>
      </c>
      <c r="F213" s="17">
        <v>40.101999999999997</v>
      </c>
      <c r="G213" s="17"/>
      <c r="H213" s="17"/>
      <c r="I213" s="17"/>
      <c r="J213" s="17"/>
    </row>
    <row r="214" spans="2:10" x14ac:dyDescent="0.25">
      <c r="B214" s="17" t="s">
        <v>135</v>
      </c>
      <c r="C214" s="17" t="s">
        <v>143</v>
      </c>
      <c r="D214" s="17"/>
      <c r="E214" s="17">
        <v>0.188</v>
      </c>
      <c r="F214" s="17">
        <v>146.96600000000001</v>
      </c>
      <c r="G214" s="17">
        <v>2</v>
      </c>
      <c r="H214" s="17">
        <v>144.41900000000001</v>
      </c>
      <c r="I214" s="17">
        <v>3.6019999999999999</v>
      </c>
      <c r="J214" s="17">
        <v>2.4940000000000002</v>
      </c>
    </row>
    <row r="215" spans="2:10" x14ac:dyDescent="0.25">
      <c r="B215" s="17"/>
      <c r="C215" s="17" t="s">
        <v>144</v>
      </c>
      <c r="D215" s="17"/>
      <c r="E215" s="17">
        <v>0.184</v>
      </c>
      <c r="F215" s="17">
        <v>141.87200000000001</v>
      </c>
      <c r="G215" s="17"/>
      <c r="H215" s="17"/>
      <c r="I215" s="17"/>
      <c r="J215" s="17"/>
    </row>
    <row r="216" spans="2:10" x14ac:dyDescent="0.25">
      <c r="B216" s="17" t="s">
        <v>137</v>
      </c>
      <c r="C216" s="17" t="s">
        <v>145</v>
      </c>
      <c r="D216" s="17"/>
      <c r="E216" s="17">
        <v>0.11899999999999999</v>
      </c>
      <c r="F216" s="17">
        <v>75.134</v>
      </c>
      <c r="G216" s="17">
        <v>2</v>
      </c>
      <c r="H216" s="17">
        <v>80.694999999999993</v>
      </c>
      <c r="I216" s="17">
        <v>7.8650000000000002</v>
      </c>
      <c r="J216" s="17">
        <v>9.7469999999999999</v>
      </c>
    </row>
    <row r="217" spans="2:10" x14ac:dyDescent="0.25">
      <c r="B217" s="17"/>
      <c r="C217" s="17" t="s">
        <v>146</v>
      </c>
      <c r="D217" s="17"/>
      <c r="E217" s="17">
        <v>0.13</v>
      </c>
      <c r="F217" s="17">
        <v>86.257000000000005</v>
      </c>
      <c r="G217" s="17"/>
      <c r="H217" s="17"/>
      <c r="I217" s="17"/>
      <c r="J217" s="17"/>
    </row>
    <row r="218" spans="2:10" x14ac:dyDescent="0.25">
      <c r="B218" s="17" t="s">
        <v>131</v>
      </c>
      <c r="C218" s="17" t="s">
        <v>147</v>
      </c>
      <c r="D218" s="17"/>
      <c r="E218" s="17">
        <v>9.0999999999999998E-2</v>
      </c>
      <c r="F218" s="17">
        <v>45.923000000000002</v>
      </c>
      <c r="G218" s="17">
        <v>2</v>
      </c>
      <c r="H218" s="17">
        <v>47.637999999999998</v>
      </c>
      <c r="I218" s="17">
        <v>2.4260000000000002</v>
      </c>
      <c r="J218" s="17">
        <v>5.0919999999999996</v>
      </c>
    </row>
    <row r="219" spans="2:10" x14ac:dyDescent="0.25">
      <c r="B219" s="17"/>
      <c r="C219" s="17" t="s">
        <v>148</v>
      </c>
      <c r="D219" s="17"/>
      <c r="E219" s="17">
        <v>9.5000000000000001E-2</v>
      </c>
      <c r="F219" s="17">
        <v>49.353000000000002</v>
      </c>
      <c r="G219" s="17"/>
      <c r="H219" s="17"/>
      <c r="I219" s="17"/>
      <c r="J219" s="17"/>
    </row>
    <row r="220" spans="2:10" x14ac:dyDescent="0.25">
      <c r="B220" s="17" t="s">
        <v>133</v>
      </c>
      <c r="C220" s="17" t="s">
        <v>149</v>
      </c>
      <c r="D220" s="17"/>
      <c r="E220" s="17">
        <v>7.1999999999999995E-2</v>
      </c>
      <c r="F220" s="17">
        <v>26.484000000000002</v>
      </c>
      <c r="G220" s="17">
        <v>2</v>
      </c>
      <c r="H220" s="17">
        <v>26.588000000000001</v>
      </c>
      <c r="I220" s="17">
        <v>0.14699999999999999</v>
      </c>
      <c r="J220" s="17">
        <v>0.55300000000000005</v>
      </c>
    </row>
    <row r="221" spans="2:10" x14ac:dyDescent="0.25">
      <c r="B221" s="17"/>
      <c r="C221" s="17" t="s">
        <v>150</v>
      </c>
      <c r="D221" s="17"/>
      <c r="E221" s="17">
        <v>7.2999999999999995E-2</v>
      </c>
      <c r="F221" s="17">
        <v>26.692</v>
      </c>
      <c r="G221" s="17"/>
      <c r="H221" s="17"/>
      <c r="I221" s="17"/>
      <c r="J221" s="17"/>
    </row>
    <row r="222" spans="2:10" x14ac:dyDescent="0.25">
      <c r="B222" s="17" t="s">
        <v>136</v>
      </c>
      <c r="C222" s="17" t="s">
        <v>151</v>
      </c>
      <c r="D222" s="17"/>
      <c r="E222" s="17">
        <v>0.11600000000000001</v>
      </c>
      <c r="F222" s="17">
        <v>71.495999999999995</v>
      </c>
      <c r="G222" s="17">
        <v>2</v>
      </c>
      <c r="H222" s="17">
        <v>75.03</v>
      </c>
      <c r="I222" s="17">
        <v>4.9980000000000002</v>
      </c>
      <c r="J222" s="17">
        <v>6.6619999999999999</v>
      </c>
    </row>
    <row r="223" spans="2:10" x14ac:dyDescent="0.25">
      <c r="B223" s="17"/>
      <c r="C223" s="17" t="s">
        <v>152</v>
      </c>
      <c r="D223" s="17"/>
      <c r="E223" s="17">
        <v>0.123</v>
      </c>
      <c r="F223" s="17">
        <v>78.563999999999993</v>
      </c>
      <c r="G223" s="17"/>
      <c r="H223" s="17"/>
      <c r="I223" s="17"/>
      <c r="J223" s="17"/>
    </row>
    <row r="224" spans="2:10" x14ac:dyDescent="0.25">
      <c r="B224" s="17" t="s">
        <v>138</v>
      </c>
      <c r="C224" s="17" t="s">
        <v>153</v>
      </c>
      <c r="D224" s="17"/>
      <c r="E224" s="17">
        <v>7.0000000000000007E-2</v>
      </c>
      <c r="F224" s="17">
        <v>23.364999999999998</v>
      </c>
      <c r="G224" s="17">
        <v>2</v>
      </c>
      <c r="H224" s="17">
        <v>59.905000000000001</v>
      </c>
      <c r="I224" s="17">
        <v>51.674999999999997</v>
      </c>
      <c r="J224" s="17">
        <v>86.262</v>
      </c>
    </row>
    <row r="225" spans="2:10" x14ac:dyDescent="0.25">
      <c r="B225" s="17"/>
      <c r="C225" s="17" t="s">
        <v>154</v>
      </c>
      <c r="D225" s="17"/>
      <c r="E225" s="17">
        <v>0.14000000000000001</v>
      </c>
      <c r="F225" s="17">
        <v>96.444000000000003</v>
      </c>
      <c r="G225" s="17"/>
      <c r="H225" s="17"/>
      <c r="I225" s="17"/>
      <c r="J225" s="17"/>
    </row>
    <row r="226" spans="2:10" x14ac:dyDescent="0.25">
      <c r="B226" s="17" t="s">
        <v>194</v>
      </c>
      <c r="C226" s="17" t="s">
        <v>218</v>
      </c>
      <c r="D226" s="17"/>
      <c r="E226" s="17">
        <v>8.5000000000000006E-2</v>
      </c>
      <c r="F226" s="17">
        <v>39.374000000000002</v>
      </c>
      <c r="G226" s="17">
        <v>2</v>
      </c>
      <c r="H226" s="17">
        <v>42.441000000000003</v>
      </c>
      <c r="I226" s="17">
        <v>4.3369999999999997</v>
      </c>
      <c r="J226" s="17">
        <v>10.218999999999999</v>
      </c>
    </row>
    <row r="227" spans="2:10" x14ac:dyDescent="0.25">
      <c r="B227" s="17"/>
      <c r="C227" s="17" t="s">
        <v>219</v>
      </c>
      <c r="D227" s="17"/>
      <c r="E227" s="17">
        <v>9.0999999999999998E-2</v>
      </c>
      <c r="F227" s="17">
        <v>45.506999999999998</v>
      </c>
      <c r="G227" s="17"/>
      <c r="H227" s="17"/>
      <c r="I227" s="17"/>
      <c r="J227" s="17"/>
    </row>
    <row r="228" spans="2:10" x14ac:dyDescent="0.25">
      <c r="B228" s="17" t="s">
        <v>200</v>
      </c>
      <c r="C228" s="17" t="s">
        <v>220</v>
      </c>
      <c r="D228" s="17"/>
      <c r="E228" s="17">
        <v>9.4E-2</v>
      </c>
      <c r="F228" s="17">
        <v>48.417999999999999</v>
      </c>
      <c r="G228" s="17">
        <v>2</v>
      </c>
      <c r="H228" s="17">
        <v>49.25</v>
      </c>
      <c r="I228" s="17">
        <v>1.1759999999999999</v>
      </c>
      <c r="J228" s="17">
        <v>2.3879999999999999</v>
      </c>
    </row>
    <row r="229" spans="2:10" x14ac:dyDescent="0.25">
      <c r="B229" s="17"/>
      <c r="C229" s="17" t="s">
        <v>221</v>
      </c>
      <c r="D229" s="17"/>
      <c r="E229" s="17">
        <v>9.5000000000000001E-2</v>
      </c>
      <c r="F229" s="17">
        <v>50.081000000000003</v>
      </c>
      <c r="G229" s="17"/>
      <c r="H229" s="17"/>
      <c r="I229" s="17"/>
      <c r="J229" s="17"/>
    </row>
    <row r="230" spans="2:10" x14ac:dyDescent="0.25">
      <c r="B230" s="17" t="s">
        <v>206</v>
      </c>
      <c r="C230" s="17" t="s">
        <v>222</v>
      </c>
      <c r="D230" s="17"/>
      <c r="E230" s="17">
        <v>4.4999999999999998E-2</v>
      </c>
      <c r="F230" s="17" t="s">
        <v>112</v>
      </c>
      <c r="G230" s="17">
        <v>0</v>
      </c>
      <c r="H230" s="17" t="s">
        <v>99</v>
      </c>
      <c r="I230" s="17" t="s">
        <v>99</v>
      </c>
      <c r="J230" s="17" t="s">
        <v>99</v>
      </c>
    </row>
    <row r="231" spans="2:10" x14ac:dyDescent="0.25">
      <c r="B231" s="17"/>
      <c r="C231" s="17" t="s">
        <v>223</v>
      </c>
      <c r="D231" s="17"/>
      <c r="E231" s="17">
        <v>4.3999999999999997E-2</v>
      </c>
      <c r="F231" s="17" t="s">
        <v>112</v>
      </c>
      <c r="G231" s="17"/>
      <c r="H231" s="17"/>
      <c r="I231" s="17"/>
      <c r="J231" s="17"/>
    </row>
    <row r="232" spans="2:10" x14ac:dyDescent="0.25">
      <c r="B232" s="17" t="s">
        <v>212</v>
      </c>
      <c r="C232" s="17" t="s">
        <v>224</v>
      </c>
      <c r="D232" s="17"/>
      <c r="E232" s="17">
        <v>0.16700000000000001</v>
      </c>
      <c r="F232" s="17">
        <v>124.408</v>
      </c>
      <c r="G232" s="17">
        <v>2</v>
      </c>
      <c r="H232" s="17">
        <v>133.55600000000001</v>
      </c>
      <c r="I232" s="17">
        <v>12.936999999999999</v>
      </c>
      <c r="J232" s="17">
        <v>9.6869999999999994</v>
      </c>
    </row>
    <row r="233" spans="2:10" x14ac:dyDescent="0.25">
      <c r="B233" s="17"/>
      <c r="C233" s="17" t="s">
        <v>225</v>
      </c>
      <c r="D233" s="17"/>
      <c r="E233" s="17">
        <v>0.184</v>
      </c>
      <c r="F233" s="17">
        <v>142.70400000000001</v>
      </c>
      <c r="G233" s="17"/>
      <c r="H233" s="17"/>
      <c r="I233" s="17"/>
      <c r="J233" s="17"/>
    </row>
    <row r="234" spans="2:10" x14ac:dyDescent="0.25">
      <c r="B234" s="17" t="s">
        <v>195</v>
      </c>
      <c r="C234" s="17" t="s">
        <v>226</v>
      </c>
      <c r="D234" s="17"/>
      <c r="E234" s="17">
        <v>0.14599999999999999</v>
      </c>
      <c r="F234" s="17">
        <v>103.09699999999999</v>
      </c>
      <c r="G234" s="17">
        <v>2</v>
      </c>
      <c r="H234" s="17">
        <v>108.139</v>
      </c>
      <c r="I234" s="17">
        <v>7.13</v>
      </c>
      <c r="J234" s="17">
        <v>6.593</v>
      </c>
    </row>
    <row r="235" spans="2:10" x14ac:dyDescent="0.25">
      <c r="B235" s="17"/>
      <c r="C235" s="17" t="s">
        <v>227</v>
      </c>
      <c r="D235" s="17"/>
      <c r="E235" s="17">
        <v>0.156</v>
      </c>
      <c r="F235" s="17">
        <v>113.181</v>
      </c>
      <c r="G235" s="17"/>
      <c r="H235" s="17"/>
      <c r="I235" s="17"/>
      <c r="J235" s="17"/>
    </row>
    <row r="236" spans="2:10" x14ac:dyDescent="0.25">
      <c r="B236" s="17" t="s">
        <v>201</v>
      </c>
      <c r="C236" s="17" t="s">
        <v>228</v>
      </c>
      <c r="D236" s="17"/>
      <c r="E236" s="17">
        <v>0.161</v>
      </c>
      <c r="F236" s="17">
        <v>118.17100000000001</v>
      </c>
      <c r="G236" s="17">
        <v>2</v>
      </c>
      <c r="H236" s="17">
        <v>128.66999999999999</v>
      </c>
      <c r="I236" s="17">
        <v>14.848000000000001</v>
      </c>
      <c r="J236" s="17">
        <v>11.54</v>
      </c>
    </row>
    <row r="237" spans="2:10" x14ac:dyDescent="0.25">
      <c r="B237" s="17"/>
      <c r="C237" s="17" t="s">
        <v>229</v>
      </c>
      <c r="D237" s="17"/>
      <c r="E237" s="17">
        <v>0.18099999999999999</v>
      </c>
      <c r="F237" s="17">
        <v>139.16900000000001</v>
      </c>
      <c r="G237" s="17"/>
      <c r="H237" s="17"/>
      <c r="I237" s="17"/>
      <c r="J237" s="17"/>
    </row>
    <row r="238" spans="2:10" x14ac:dyDescent="0.25">
      <c r="B238" s="17" t="s">
        <v>207</v>
      </c>
      <c r="C238" s="17" t="s">
        <v>230</v>
      </c>
      <c r="D238" s="17"/>
      <c r="E238" s="17">
        <v>0.12</v>
      </c>
      <c r="F238" s="17">
        <v>75.653999999999996</v>
      </c>
      <c r="G238" s="17">
        <v>2</v>
      </c>
      <c r="H238" s="17">
        <v>72.950999999999993</v>
      </c>
      <c r="I238" s="17">
        <v>3.8220000000000001</v>
      </c>
      <c r="J238" s="17">
        <v>5.24</v>
      </c>
    </row>
    <row r="239" spans="2:10" x14ac:dyDescent="0.25">
      <c r="B239" s="17"/>
      <c r="C239" s="17" t="s">
        <v>231</v>
      </c>
      <c r="D239" s="17"/>
      <c r="E239" s="17">
        <v>0.115</v>
      </c>
      <c r="F239" s="17">
        <v>70.248000000000005</v>
      </c>
      <c r="G239" s="17"/>
      <c r="H239" s="17"/>
      <c r="I239" s="17"/>
      <c r="J239" s="17"/>
    </row>
    <row r="240" spans="2:10" x14ac:dyDescent="0.25">
      <c r="B240" s="17" t="s">
        <v>213</v>
      </c>
      <c r="C240" s="17" t="s">
        <v>232</v>
      </c>
      <c r="D240" s="17"/>
      <c r="E240" s="17">
        <v>0.125</v>
      </c>
      <c r="F240" s="17">
        <v>81.370999999999995</v>
      </c>
      <c r="G240" s="17">
        <v>2</v>
      </c>
      <c r="H240" s="17">
        <v>82.981999999999999</v>
      </c>
      <c r="I240" s="17">
        <v>2.2789999999999999</v>
      </c>
      <c r="J240" s="17">
        <v>2.746</v>
      </c>
    </row>
    <row r="241" spans="2:10" x14ac:dyDescent="0.25">
      <c r="B241" s="17"/>
      <c r="C241" s="17" t="s">
        <v>233</v>
      </c>
      <c r="D241" s="17"/>
      <c r="E241" s="17">
        <v>0.128</v>
      </c>
      <c r="F241" s="17">
        <v>84.593999999999994</v>
      </c>
      <c r="G241" s="17"/>
      <c r="H241" s="17"/>
      <c r="I241" s="17"/>
      <c r="J241" s="17"/>
    </row>
    <row r="242" spans="2:10" x14ac:dyDescent="0.25">
      <c r="B242" s="17" t="s">
        <v>196</v>
      </c>
      <c r="C242" s="17" t="s">
        <v>234</v>
      </c>
      <c r="D242" s="17"/>
      <c r="E242" s="17">
        <v>8.2000000000000003E-2</v>
      </c>
      <c r="F242" s="17">
        <v>36.255000000000003</v>
      </c>
      <c r="G242" s="17">
        <v>2</v>
      </c>
      <c r="H242" s="17">
        <v>37.606999999999999</v>
      </c>
      <c r="I242" s="17">
        <v>1.911</v>
      </c>
      <c r="J242" s="17">
        <v>5.0819999999999999</v>
      </c>
    </row>
    <row r="243" spans="2:10" x14ac:dyDescent="0.25">
      <c r="B243" s="17"/>
      <c r="C243" s="17" t="s">
        <v>235</v>
      </c>
      <c r="D243" s="17"/>
      <c r="E243" s="17">
        <v>8.5000000000000006E-2</v>
      </c>
      <c r="F243" s="17">
        <v>38.957999999999998</v>
      </c>
      <c r="G243" s="17"/>
      <c r="H243" s="17"/>
      <c r="I243" s="17"/>
      <c r="J243" s="17"/>
    </row>
    <row r="244" spans="2:10" x14ac:dyDescent="0.25">
      <c r="B244" s="17" t="s">
        <v>202</v>
      </c>
      <c r="C244" s="17" t="s">
        <v>236</v>
      </c>
      <c r="D244" s="17"/>
      <c r="E244" s="17">
        <v>5.8999999999999997E-2</v>
      </c>
      <c r="F244" s="17">
        <v>12.346</v>
      </c>
      <c r="G244" s="17">
        <v>2</v>
      </c>
      <c r="H244" s="17">
        <v>13.749000000000001</v>
      </c>
      <c r="I244" s="17">
        <v>1.9850000000000001</v>
      </c>
      <c r="J244" s="17">
        <v>14.435</v>
      </c>
    </row>
    <row r="245" spans="2:10" x14ac:dyDescent="0.25">
      <c r="B245" s="17"/>
      <c r="C245" s="17" t="s">
        <v>237</v>
      </c>
      <c r="D245" s="17"/>
      <c r="E245" s="17">
        <v>6.2E-2</v>
      </c>
      <c r="F245" s="17">
        <v>15.153</v>
      </c>
      <c r="G245" s="17"/>
      <c r="H245" s="17"/>
      <c r="I245" s="17"/>
      <c r="J245" s="17"/>
    </row>
    <row r="246" spans="2:10" x14ac:dyDescent="0.25">
      <c r="B246" s="17" t="s">
        <v>208</v>
      </c>
      <c r="C246" s="17" t="s">
        <v>238</v>
      </c>
      <c r="D246" s="17"/>
      <c r="E246" s="17">
        <v>0.2</v>
      </c>
      <c r="F246" s="17">
        <v>159.232</v>
      </c>
      <c r="G246" s="17">
        <v>2</v>
      </c>
      <c r="H246" s="17">
        <v>160.11600000000001</v>
      </c>
      <c r="I246" s="17">
        <v>1.25</v>
      </c>
      <c r="J246" s="17">
        <v>0.78</v>
      </c>
    </row>
    <row r="247" spans="2:10" x14ac:dyDescent="0.25">
      <c r="B247" s="17"/>
      <c r="C247" s="17" t="s">
        <v>239</v>
      </c>
      <c r="D247" s="17"/>
      <c r="E247" s="17">
        <v>0.20200000000000001</v>
      </c>
      <c r="F247" s="17">
        <v>161</v>
      </c>
      <c r="G247" s="17"/>
      <c r="H247" s="17"/>
      <c r="I247" s="17"/>
      <c r="J247" s="17"/>
    </row>
    <row r="248" spans="2:10" x14ac:dyDescent="0.25">
      <c r="B248" s="17" t="s">
        <v>214</v>
      </c>
      <c r="C248" s="17" t="s">
        <v>240</v>
      </c>
      <c r="D248" s="17"/>
      <c r="E248" s="17">
        <v>0.11600000000000001</v>
      </c>
      <c r="F248" s="17">
        <v>72.015000000000001</v>
      </c>
      <c r="G248" s="17">
        <v>2</v>
      </c>
      <c r="H248" s="17">
        <v>73.263000000000005</v>
      </c>
      <c r="I248" s="17">
        <v>1.764</v>
      </c>
      <c r="J248" s="17">
        <v>2.4079999999999999</v>
      </c>
    </row>
    <row r="249" spans="2:10" x14ac:dyDescent="0.25">
      <c r="B249" s="17"/>
      <c r="C249" s="17" t="s">
        <v>241</v>
      </c>
      <c r="D249" s="17"/>
      <c r="E249" s="17">
        <v>0.11899999999999999</v>
      </c>
      <c r="F249" s="17">
        <v>74.510000000000005</v>
      </c>
      <c r="G249" s="17"/>
      <c r="H249" s="17"/>
      <c r="I249" s="17"/>
      <c r="J249" s="17"/>
    </row>
    <row r="250" spans="2:10" x14ac:dyDescent="0.25">
      <c r="B250" s="17" t="s">
        <v>197</v>
      </c>
      <c r="C250" s="17" t="s">
        <v>242</v>
      </c>
      <c r="D250" s="17"/>
      <c r="E250" s="17">
        <v>7.5999999999999998E-2</v>
      </c>
      <c r="F250" s="17">
        <v>30.018000000000001</v>
      </c>
      <c r="G250" s="17">
        <v>2</v>
      </c>
      <c r="H250" s="17">
        <v>32.305</v>
      </c>
      <c r="I250" s="17">
        <v>3.234</v>
      </c>
      <c r="J250" s="17">
        <v>10.012</v>
      </c>
    </row>
    <row r="251" spans="2:10" x14ac:dyDescent="0.25">
      <c r="B251" s="17"/>
      <c r="C251" s="17" t="s">
        <v>243</v>
      </c>
      <c r="D251" s="17"/>
      <c r="E251" s="17">
        <v>0.08</v>
      </c>
      <c r="F251" s="17">
        <v>34.591999999999999</v>
      </c>
      <c r="G251" s="17"/>
      <c r="H251" s="17"/>
      <c r="I251" s="17"/>
      <c r="J251" s="17"/>
    </row>
    <row r="252" spans="2:10" x14ac:dyDescent="0.25">
      <c r="B252" s="17" t="s">
        <v>203</v>
      </c>
      <c r="C252" s="17" t="s">
        <v>244</v>
      </c>
      <c r="D252" s="17"/>
      <c r="E252" s="17">
        <v>0.20399999999999999</v>
      </c>
      <c r="F252" s="17">
        <v>162.767</v>
      </c>
      <c r="G252" s="17">
        <v>2</v>
      </c>
      <c r="H252" s="17">
        <v>163.23500000000001</v>
      </c>
      <c r="I252" s="17">
        <v>0.66200000000000003</v>
      </c>
      <c r="J252" s="17">
        <v>0.40500000000000003</v>
      </c>
    </row>
    <row r="253" spans="2:10" x14ac:dyDescent="0.25">
      <c r="B253" s="17"/>
      <c r="C253" s="17" t="s">
        <v>245</v>
      </c>
      <c r="D253" s="17"/>
      <c r="E253" s="17">
        <v>0.20399999999999999</v>
      </c>
      <c r="F253" s="17">
        <v>163.702</v>
      </c>
      <c r="G253" s="17"/>
      <c r="H253" s="17"/>
      <c r="I253" s="17"/>
      <c r="J253" s="17"/>
    </row>
    <row r="254" spans="2:10" x14ac:dyDescent="0.25">
      <c r="B254" s="17" t="s">
        <v>209</v>
      </c>
      <c r="C254" s="17" t="s">
        <v>246</v>
      </c>
      <c r="D254" s="17"/>
      <c r="E254" s="17">
        <v>0.17100000000000001</v>
      </c>
      <c r="F254" s="17">
        <v>129.08600000000001</v>
      </c>
      <c r="G254" s="17">
        <v>2</v>
      </c>
      <c r="H254" s="17">
        <v>136.98599999999999</v>
      </c>
      <c r="I254" s="17">
        <v>11.173</v>
      </c>
      <c r="J254" s="17">
        <v>8.1560000000000006</v>
      </c>
    </row>
    <row r="255" spans="2:10" x14ac:dyDescent="0.25">
      <c r="B255" s="17"/>
      <c r="C255" s="17" t="s">
        <v>247</v>
      </c>
      <c r="D255" s="17"/>
      <c r="E255" s="17">
        <v>0.186</v>
      </c>
      <c r="F255" s="17">
        <v>144.887</v>
      </c>
      <c r="G255" s="17"/>
      <c r="H255" s="17"/>
      <c r="I255" s="17"/>
      <c r="J255" s="17"/>
    </row>
    <row r="256" spans="2:10" x14ac:dyDescent="0.25">
      <c r="B256" s="17" t="s">
        <v>215</v>
      </c>
      <c r="C256" s="17" t="s">
        <v>248</v>
      </c>
      <c r="D256" s="17"/>
      <c r="E256" s="17">
        <v>7.8E-2</v>
      </c>
      <c r="F256" s="17">
        <v>32.408999999999999</v>
      </c>
      <c r="G256" s="17">
        <v>2</v>
      </c>
      <c r="H256" s="17">
        <v>88.284000000000006</v>
      </c>
      <c r="I256" s="17">
        <v>79.019000000000005</v>
      </c>
      <c r="J256" s="17">
        <v>89.506</v>
      </c>
    </row>
    <row r="257" spans="2:10" x14ac:dyDescent="0.25">
      <c r="B257" s="17"/>
      <c r="C257" s="17" t="s">
        <v>249</v>
      </c>
      <c r="D257" s="17"/>
      <c r="E257" s="17">
        <v>0.186</v>
      </c>
      <c r="F257" s="17">
        <v>144.15899999999999</v>
      </c>
      <c r="G257" s="17"/>
      <c r="H257" s="17"/>
      <c r="I257" s="17"/>
      <c r="J257" s="17"/>
    </row>
    <row r="258" spans="2:10" x14ac:dyDescent="0.25">
      <c r="B258" s="17" t="s">
        <v>198</v>
      </c>
      <c r="C258" s="17" t="s">
        <v>250</v>
      </c>
      <c r="D258" s="17"/>
      <c r="E258" s="17">
        <v>7.0999999999999994E-2</v>
      </c>
      <c r="F258" s="17">
        <v>24.613</v>
      </c>
      <c r="G258" s="17">
        <v>2</v>
      </c>
      <c r="H258" s="17">
        <v>26.9</v>
      </c>
      <c r="I258" s="17">
        <v>3.234</v>
      </c>
      <c r="J258" s="17">
        <v>12.023999999999999</v>
      </c>
    </row>
    <row r="259" spans="2:10" x14ac:dyDescent="0.25">
      <c r="B259" s="17"/>
      <c r="C259" s="17" t="s">
        <v>251</v>
      </c>
      <c r="D259" s="17"/>
      <c r="E259" s="17">
        <v>7.4999999999999997E-2</v>
      </c>
      <c r="F259" s="17">
        <v>29.186</v>
      </c>
      <c r="G259" s="17"/>
      <c r="H259" s="17"/>
      <c r="I259" s="17"/>
      <c r="J259" s="17"/>
    </row>
    <row r="260" spans="2:10" x14ac:dyDescent="0.25">
      <c r="B260" s="17" t="s">
        <v>204</v>
      </c>
      <c r="C260" s="17" t="s">
        <v>252</v>
      </c>
      <c r="D260" s="17"/>
      <c r="E260" s="17">
        <v>0.13400000000000001</v>
      </c>
      <c r="F260" s="17">
        <v>90.727000000000004</v>
      </c>
      <c r="G260" s="17">
        <v>2</v>
      </c>
      <c r="H260" s="17">
        <v>92.233999999999995</v>
      </c>
      <c r="I260" s="17">
        <v>2.1320000000000001</v>
      </c>
      <c r="J260" s="17">
        <v>2.3109999999999999</v>
      </c>
    </row>
    <row r="261" spans="2:10" x14ac:dyDescent="0.25">
      <c r="B261" s="17"/>
      <c r="C261" s="17" t="s">
        <v>253</v>
      </c>
      <c r="D261" s="17"/>
      <c r="E261" s="17">
        <v>0.13700000000000001</v>
      </c>
      <c r="F261" s="17">
        <v>93.742000000000004</v>
      </c>
      <c r="G261" s="17"/>
      <c r="H261" s="17"/>
      <c r="I261" s="17"/>
      <c r="J261" s="17"/>
    </row>
    <row r="262" spans="2:10" x14ac:dyDescent="0.25">
      <c r="B262" s="17" t="s">
        <v>210</v>
      </c>
      <c r="C262" s="17" t="s">
        <v>254</v>
      </c>
      <c r="D262" s="17"/>
      <c r="E262" s="17">
        <v>0.191</v>
      </c>
      <c r="F262" s="17">
        <v>149.25299999999999</v>
      </c>
      <c r="G262" s="17">
        <v>2</v>
      </c>
      <c r="H262" s="17">
        <v>164.63800000000001</v>
      </c>
      <c r="I262" s="17">
        <v>21.757999999999999</v>
      </c>
      <c r="J262" s="17">
        <v>13.215999999999999</v>
      </c>
    </row>
    <row r="263" spans="2:10" x14ac:dyDescent="0.25">
      <c r="B263" s="17"/>
      <c r="C263" s="17" t="s">
        <v>255</v>
      </c>
      <c r="D263" s="17"/>
      <c r="E263" s="17">
        <v>0.22</v>
      </c>
      <c r="F263" s="17">
        <v>180.023</v>
      </c>
      <c r="G263" s="17"/>
      <c r="H263" s="17"/>
      <c r="I263" s="17"/>
      <c r="J263" s="17"/>
    </row>
    <row r="264" spans="2:10" x14ac:dyDescent="0.25">
      <c r="B264" s="17" t="s">
        <v>216</v>
      </c>
      <c r="C264" s="17" t="s">
        <v>256</v>
      </c>
      <c r="D264" s="17"/>
      <c r="E264" s="17">
        <v>7.5999999999999998E-2</v>
      </c>
      <c r="F264" s="17">
        <v>30.538</v>
      </c>
      <c r="G264" s="17">
        <v>2</v>
      </c>
      <c r="H264" s="17">
        <v>33.863999999999997</v>
      </c>
      <c r="I264" s="17">
        <v>4.7039999999999997</v>
      </c>
      <c r="J264" s="17">
        <v>13.891999999999999</v>
      </c>
    </row>
    <row r="265" spans="2:10" x14ac:dyDescent="0.25">
      <c r="B265" s="17"/>
      <c r="C265" s="17" t="s">
        <v>257</v>
      </c>
      <c r="D265" s="17"/>
      <c r="E265" s="17">
        <v>8.3000000000000004E-2</v>
      </c>
      <c r="F265" s="17">
        <v>37.191000000000003</v>
      </c>
      <c r="G265" s="17"/>
      <c r="H265" s="17"/>
      <c r="I265" s="17"/>
      <c r="J265" s="17"/>
    </row>
    <row r="266" spans="2:10" x14ac:dyDescent="0.25">
      <c r="B266" s="17" t="s">
        <v>199</v>
      </c>
      <c r="C266" s="17" t="s">
        <v>258</v>
      </c>
      <c r="D266" s="17"/>
      <c r="E266" s="17">
        <v>0.19600000000000001</v>
      </c>
      <c r="F266" s="17">
        <v>154.44999999999999</v>
      </c>
      <c r="G266" s="17">
        <v>2</v>
      </c>
      <c r="H266" s="17">
        <v>152.47499999999999</v>
      </c>
      <c r="I266" s="17">
        <v>2.7930000000000001</v>
      </c>
      <c r="J266" s="17">
        <v>1.8320000000000001</v>
      </c>
    </row>
    <row r="267" spans="2:10" x14ac:dyDescent="0.25">
      <c r="B267" s="17"/>
      <c r="C267" s="17" t="s">
        <v>259</v>
      </c>
      <c r="D267" s="17"/>
      <c r="E267" s="17">
        <v>0.192</v>
      </c>
      <c r="F267" s="17">
        <v>150.5</v>
      </c>
      <c r="G267" s="17"/>
      <c r="H267" s="17"/>
      <c r="I267" s="17"/>
      <c r="J267" s="17"/>
    </row>
    <row r="268" spans="2:10" x14ac:dyDescent="0.25">
      <c r="B268" s="17" t="s">
        <v>205</v>
      </c>
      <c r="C268" s="17" t="s">
        <v>260</v>
      </c>
      <c r="D268" s="17"/>
      <c r="E268" s="17">
        <v>9.4E-2</v>
      </c>
      <c r="F268" s="17">
        <v>49.25</v>
      </c>
      <c r="G268" s="17">
        <v>2</v>
      </c>
      <c r="H268" s="17">
        <v>52.628</v>
      </c>
      <c r="I268" s="17">
        <v>4.7779999999999996</v>
      </c>
      <c r="J268" s="17">
        <v>9.0790000000000006</v>
      </c>
    </row>
    <row r="269" spans="2:10" x14ac:dyDescent="0.25">
      <c r="B269" s="17"/>
      <c r="C269" s="17" t="s">
        <v>261</v>
      </c>
      <c r="D269" s="17"/>
      <c r="E269" s="17">
        <v>0.10100000000000001</v>
      </c>
      <c r="F269" s="17">
        <v>56.006</v>
      </c>
      <c r="G269" s="17"/>
      <c r="H269" s="17"/>
      <c r="I269" s="17"/>
      <c r="J269" s="17"/>
    </row>
    <row r="270" spans="2:10" x14ac:dyDescent="0.25">
      <c r="B270" s="17" t="s">
        <v>211</v>
      </c>
      <c r="C270" s="17" t="s">
        <v>262</v>
      </c>
      <c r="D270" s="17"/>
      <c r="E270" s="17">
        <v>9.0999999999999998E-2</v>
      </c>
      <c r="F270" s="17">
        <v>46.131</v>
      </c>
      <c r="G270" s="17">
        <v>2</v>
      </c>
      <c r="H270" s="17">
        <v>45.506999999999998</v>
      </c>
      <c r="I270" s="17">
        <v>0.88200000000000001</v>
      </c>
      <c r="J270" s="17">
        <v>1.9379999999999999</v>
      </c>
    </row>
    <row r="271" spans="2:10" x14ac:dyDescent="0.25">
      <c r="B271" s="17"/>
      <c r="C271" s="17" t="s">
        <v>263</v>
      </c>
      <c r="D271" s="17"/>
      <c r="E271" s="17">
        <v>0.09</v>
      </c>
      <c r="F271" s="17">
        <v>44.883000000000003</v>
      </c>
      <c r="G271" s="17"/>
      <c r="H271" s="17"/>
      <c r="I271" s="17"/>
      <c r="J271" s="17"/>
    </row>
    <row r="272" spans="2:10" x14ac:dyDescent="0.25">
      <c r="B272" s="17" t="s">
        <v>217</v>
      </c>
      <c r="C272" s="17" t="s">
        <v>264</v>
      </c>
      <c r="D272" s="17"/>
      <c r="E272" s="17">
        <v>7.6999999999999999E-2</v>
      </c>
      <c r="F272" s="17">
        <v>30.954000000000001</v>
      </c>
      <c r="G272" s="17">
        <v>2</v>
      </c>
      <c r="H272" s="17">
        <v>31.940999999999999</v>
      </c>
      <c r="I272" s="17">
        <v>1.397</v>
      </c>
      <c r="J272" s="17">
        <v>4.3719999999999999</v>
      </c>
    </row>
    <row r="273" spans="1:10" x14ac:dyDescent="0.25">
      <c r="B273" s="17"/>
      <c r="C273" s="17" t="s">
        <v>265</v>
      </c>
      <c r="D273" s="17"/>
      <c r="E273" s="17">
        <v>7.9000000000000001E-2</v>
      </c>
      <c r="F273" s="17">
        <v>32.929000000000002</v>
      </c>
      <c r="G273" s="17"/>
      <c r="H273" s="17"/>
      <c r="I273" s="17"/>
      <c r="J273" s="17"/>
    </row>
    <row r="274" spans="1:10" x14ac:dyDescent="0.25">
      <c r="B274" s="17" t="s">
        <v>98</v>
      </c>
      <c r="C274" s="17" t="s">
        <v>88</v>
      </c>
      <c r="D274" s="17">
        <v>0</v>
      </c>
      <c r="E274" s="17">
        <v>4.2000000000000003E-2</v>
      </c>
      <c r="F274" s="17" t="s">
        <v>112</v>
      </c>
      <c r="G274" s="17">
        <v>1</v>
      </c>
      <c r="H274" s="17">
        <v>8.1880000000000006</v>
      </c>
      <c r="I274" s="17" t="s">
        <v>99</v>
      </c>
      <c r="J274" s="17" t="s">
        <v>99</v>
      </c>
    </row>
    <row r="275" spans="1:10" x14ac:dyDescent="0.25">
      <c r="B275" s="17"/>
      <c r="C275" s="17" t="s">
        <v>89</v>
      </c>
      <c r="D275" s="17">
        <v>0</v>
      </c>
      <c r="E275" s="17">
        <v>5.5E-2</v>
      </c>
      <c r="F275" s="17">
        <v>8.1880000000000006</v>
      </c>
      <c r="G275" s="17"/>
      <c r="H275" s="17"/>
      <c r="I275" s="17"/>
      <c r="J275" s="17"/>
    </row>
    <row r="276" spans="1:10" x14ac:dyDescent="0.25">
      <c r="B276" s="17" t="s">
        <v>43</v>
      </c>
      <c r="C276" s="17" t="s">
        <v>91</v>
      </c>
      <c r="D276" s="17">
        <v>12.5</v>
      </c>
      <c r="E276" s="17">
        <v>5.8000000000000003E-2</v>
      </c>
      <c r="F276" s="17">
        <v>11.513999999999999</v>
      </c>
      <c r="G276" s="17">
        <v>2</v>
      </c>
      <c r="H276" s="17">
        <v>10.994999999999999</v>
      </c>
      <c r="I276" s="17">
        <v>0.73499999999999999</v>
      </c>
      <c r="J276" s="17">
        <v>6.6859999999999999</v>
      </c>
    </row>
    <row r="277" spans="1:10" x14ac:dyDescent="0.25">
      <c r="B277" s="17"/>
      <c r="C277" s="17" t="s">
        <v>90</v>
      </c>
      <c r="D277" s="17">
        <v>12.5</v>
      </c>
      <c r="E277" s="17">
        <v>5.7000000000000002E-2</v>
      </c>
      <c r="F277" s="17">
        <v>10.475</v>
      </c>
      <c r="G277" s="17"/>
      <c r="H277" s="17"/>
      <c r="I277" s="17"/>
      <c r="J277" s="17"/>
    </row>
    <row r="278" spans="1:10" x14ac:dyDescent="0.25">
      <c r="B278" s="17" t="s">
        <v>49</v>
      </c>
      <c r="C278" s="17" t="s">
        <v>92</v>
      </c>
      <c r="D278" s="17">
        <v>50</v>
      </c>
      <c r="E278" s="17">
        <v>9.2999999999999999E-2</v>
      </c>
      <c r="F278" s="17">
        <v>48.106000000000002</v>
      </c>
      <c r="G278" s="17">
        <v>2</v>
      </c>
      <c r="H278" s="17">
        <v>50.029000000000003</v>
      </c>
      <c r="I278" s="17">
        <v>2.72</v>
      </c>
      <c r="J278" s="17">
        <v>5.4359999999999999</v>
      </c>
    </row>
    <row r="279" spans="1:10" x14ac:dyDescent="0.25">
      <c r="B279" s="17"/>
      <c r="C279" s="17" t="s">
        <v>93</v>
      </c>
      <c r="D279" s="17">
        <v>50</v>
      </c>
      <c r="E279" s="17">
        <v>9.7000000000000003E-2</v>
      </c>
      <c r="F279" s="17">
        <v>51.951999999999998</v>
      </c>
      <c r="G279" s="17"/>
      <c r="H279" s="17"/>
      <c r="I279" s="17"/>
      <c r="J279" s="17"/>
    </row>
    <row r="280" spans="1:10" x14ac:dyDescent="0.25">
      <c r="B280" s="17" t="s">
        <v>102</v>
      </c>
      <c r="C280" s="17" t="s">
        <v>94</v>
      </c>
      <c r="D280" s="17">
        <v>100</v>
      </c>
      <c r="E280" s="17">
        <v>0.13300000000000001</v>
      </c>
      <c r="F280" s="17">
        <v>89.376000000000005</v>
      </c>
      <c r="G280" s="17">
        <v>2</v>
      </c>
      <c r="H280" s="17">
        <v>96.287999999999997</v>
      </c>
      <c r="I280" s="17">
        <v>9.7759999999999998</v>
      </c>
      <c r="J280" s="17">
        <v>10.153</v>
      </c>
    </row>
    <row r="281" spans="1:10" x14ac:dyDescent="0.25">
      <c r="B281" s="17"/>
      <c r="C281" s="17" t="s">
        <v>95</v>
      </c>
      <c r="D281" s="17">
        <v>100</v>
      </c>
      <c r="E281" s="17">
        <v>0.14599999999999999</v>
      </c>
      <c r="F281" s="17">
        <v>103.20099999999999</v>
      </c>
      <c r="G281" s="17"/>
      <c r="H281" s="17"/>
      <c r="I281" s="17"/>
      <c r="J281" s="17"/>
    </row>
    <row r="282" spans="1:10" x14ac:dyDescent="0.25">
      <c r="B282" s="17" t="s">
        <v>55</v>
      </c>
      <c r="C282" s="17" t="s">
        <v>66</v>
      </c>
      <c r="D282" s="17">
        <v>150</v>
      </c>
      <c r="E282" s="17">
        <v>0.19800000000000001</v>
      </c>
      <c r="F282" s="17">
        <v>157.36099999999999</v>
      </c>
      <c r="G282" s="17">
        <v>2</v>
      </c>
      <c r="H282" s="17">
        <v>156.21799999999999</v>
      </c>
      <c r="I282" s="17">
        <v>1.617</v>
      </c>
      <c r="J282" s="17">
        <v>1.0349999999999999</v>
      </c>
    </row>
    <row r="283" spans="1:10" x14ac:dyDescent="0.25">
      <c r="B283" s="17"/>
      <c r="C283" s="17" t="s">
        <v>67</v>
      </c>
      <c r="D283" s="17">
        <v>150</v>
      </c>
      <c r="E283" s="17">
        <v>0.19600000000000001</v>
      </c>
      <c r="F283" s="17">
        <v>155.07400000000001</v>
      </c>
      <c r="G283" s="17"/>
      <c r="H283" s="17"/>
      <c r="I283" s="17"/>
      <c r="J283" s="17"/>
    </row>
    <row r="284" spans="1:10" x14ac:dyDescent="0.25">
      <c r="B284" s="17" t="s">
        <v>134</v>
      </c>
      <c r="C284" s="17" t="s">
        <v>68</v>
      </c>
      <c r="D284" s="17">
        <v>200</v>
      </c>
      <c r="E284" s="17">
        <v>0.23599999999999999</v>
      </c>
      <c r="F284" s="17">
        <v>196.136</v>
      </c>
      <c r="G284" s="17">
        <v>2</v>
      </c>
      <c r="H284" s="17">
        <v>197.279</v>
      </c>
      <c r="I284" s="17">
        <v>1.617</v>
      </c>
      <c r="J284" s="17">
        <v>0.82</v>
      </c>
    </row>
    <row r="285" spans="1:10" x14ac:dyDescent="0.25">
      <c r="B285" s="17"/>
      <c r="C285" s="17" t="s">
        <v>69</v>
      </c>
      <c r="D285" s="17">
        <v>200</v>
      </c>
      <c r="E285" s="17">
        <v>0.23799999999999999</v>
      </c>
      <c r="F285" s="17">
        <v>198.423</v>
      </c>
      <c r="G285" s="17"/>
      <c r="H285" s="17"/>
      <c r="I285" s="17"/>
      <c r="J285" s="17"/>
    </row>
    <row r="287" spans="1:10" x14ac:dyDescent="0.25">
      <c r="A287" s="4" t="s">
        <v>266</v>
      </c>
      <c r="B287" s="5"/>
    </row>
    <row r="288" spans="1:10" x14ac:dyDescent="0.25">
      <c r="A288" s="1" t="s">
        <v>59</v>
      </c>
      <c r="B288" s="1">
        <v>26.1</v>
      </c>
    </row>
    <row r="290" spans="2:10" x14ac:dyDescent="0.25">
      <c r="B290" s="7" t="s">
        <v>39</v>
      </c>
      <c r="C290" s="7" t="s">
        <v>60</v>
      </c>
      <c r="D290" s="7" t="s">
        <v>40</v>
      </c>
      <c r="E290" s="7">
        <v>500</v>
      </c>
      <c r="F290" s="7" t="s">
        <v>266</v>
      </c>
      <c r="G290" s="7" t="s">
        <v>61</v>
      </c>
      <c r="H290" s="7" t="s">
        <v>4</v>
      </c>
      <c r="I290" s="7" t="s">
        <v>62</v>
      </c>
      <c r="J290" s="7" t="s">
        <v>63</v>
      </c>
    </row>
    <row r="291" spans="2:10" x14ac:dyDescent="0.25">
      <c r="B291" s="17" t="s">
        <v>36</v>
      </c>
      <c r="C291" s="17" t="s">
        <v>64</v>
      </c>
      <c r="D291" s="17"/>
      <c r="E291" s="17">
        <v>4.2000000000000003E-2</v>
      </c>
      <c r="F291" s="17">
        <v>0</v>
      </c>
      <c r="G291" s="17">
        <v>2</v>
      </c>
      <c r="H291" s="17">
        <v>0</v>
      </c>
      <c r="I291" s="17">
        <v>0</v>
      </c>
      <c r="J291" s="17" t="s">
        <v>99</v>
      </c>
    </row>
    <row r="292" spans="2:10" x14ac:dyDescent="0.25">
      <c r="B292" s="17"/>
      <c r="C292" s="17" t="s">
        <v>65</v>
      </c>
      <c r="D292" s="17"/>
      <c r="E292" s="17">
        <v>4.2000000000000003E-2</v>
      </c>
      <c r="F292" s="17">
        <v>0</v>
      </c>
      <c r="G292" s="17"/>
      <c r="H292" s="17"/>
      <c r="I292" s="17"/>
      <c r="J292" s="17"/>
    </row>
    <row r="293" spans="2:10" x14ac:dyDescent="0.25">
      <c r="B293" s="17" t="s">
        <v>44</v>
      </c>
      <c r="C293" s="17" t="s">
        <v>70</v>
      </c>
      <c r="D293" s="17"/>
      <c r="E293" s="17">
        <v>0.14299999999999999</v>
      </c>
      <c r="F293" s="17">
        <v>0.1</v>
      </c>
      <c r="G293" s="17">
        <v>2</v>
      </c>
      <c r="H293" s="17">
        <v>0.112</v>
      </c>
      <c r="I293" s="17">
        <v>1.7000000000000001E-2</v>
      </c>
      <c r="J293" s="17">
        <v>14.986000000000001</v>
      </c>
    </row>
    <row r="294" spans="2:10" x14ac:dyDescent="0.25">
      <c r="B294" s="17"/>
      <c r="C294" s="17" t="s">
        <v>71</v>
      </c>
      <c r="D294" s="17"/>
      <c r="E294" s="17">
        <v>0.16700000000000001</v>
      </c>
      <c r="F294" s="17">
        <v>0.124</v>
      </c>
      <c r="G294" s="17"/>
      <c r="H294" s="17"/>
      <c r="I294" s="17"/>
      <c r="J294" s="17"/>
    </row>
    <row r="295" spans="2:10" x14ac:dyDescent="0.25">
      <c r="B295" s="17" t="s">
        <v>50</v>
      </c>
      <c r="C295" s="17" t="s">
        <v>72</v>
      </c>
      <c r="D295" s="17"/>
      <c r="E295" s="17">
        <v>0.11600000000000001</v>
      </c>
      <c r="F295" s="17">
        <v>7.2999999999999995E-2</v>
      </c>
      <c r="G295" s="17">
        <v>2</v>
      </c>
      <c r="H295" s="17">
        <v>7.5999999999999998E-2</v>
      </c>
      <c r="I295" s="17">
        <v>3.0000000000000001E-3</v>
      </c>
      <c r="J295" s="17">
        <v>4.1150000000000002</v>
      </c>
    </row>
    <row r="296" spans="2:10" x14ac:dyDescent="0.25">
      <c r="B296" s="17"/>
      <c r="C296" s="17" t="s">
        <v>73</v>
      </c>
      <c r="D296" s="17"/>
      <c r="E296" s="17">
        <v>0.12</v>
      </c>
      <c r="F296" s="17">
        <v>7.8E-2</v>
      </c>
      <c r="G296" s="17"/>
      <c r="H296" s="17"/>
      <c r="I296" s="17"/>
      <c r="J296" s="17"/>
    </row>
    <row r="297" spans="2:10" x14ac:dyDescent="0.25">
      <c r="B297" s="17" t="s">
        <v>56</v>
      </c>
      <c r="C297" s="17" t="s">
        <v>74</v>
      </c>
      <c r="D297" s="17"/>
      <c r="E297" s="17">
        <v>6.5000000000000002E-2</v>
      </c>
      <c r="F297" s="17">
        <v>2.3E-2</v>
      </c>
      <c r="G297" s="17">
        <v>2</v>
      </c>
      <c r="H297" s="17">
        <v>2.7E-2</v>
      </c>
      <c r="I297" s="17">
        <v>6.0000000000000001E-3</v>
      </c>
      <c r="J297" s="17">
        <v>23.527000000000001</v>
      </c>
    </row>
    <row r="298" spans="2:10" x14ac:dyDescent="0.25">
      <c r="B298" s="17"/>
      <c r="C298" s="17" t="s">
        <v>75</v>
      </c>
      <c r="D298" s="17"/>
      <c r="E298" s="17">
        <v>7.3999999999999996E-2</v>
      </c>
      <c r="F298" s="17">
        <v>3.2000000000000001E-2</v>
      </c>
      <c r="G298" s="17"/>
      <c r="H298" s="17"/>
      <c r="I298" s="17"/>
      <c r="J298" s="17"/>
    </row>
    <row r="299" spans="2:10" x14ac:dyDescent="0.25">
      <c r="B299" s="17" t="s">
        <v>37</v>
      </c>
      <c r="C299" s="17" t="s">
        <v>76</v>
      </c>
      <c r="D299" s="17"/>
      <c r="E299" s="17">
        <v>9.4E-2</v>
      </c>
      <c r="F299" s="17">
        <v>5.0999999999999997E-2</v>
      </c>
      <c r="G299" s="17">
        <v>2</v>
      </c>
      <c r="H299" s="17">
        <v>5.2999999999999999E-2</v>
      </c>
      <c r="I299" s="17">
        <v>3.0000000000000001E-3</v>
      </c>
      <c r="J299" s="17">
        <v>5.1890000000000001</v>
      </c>
    </row>
    <row r="300" spans="2:10" x14ac:dyDescent="0.25">
      <c r="B300" s="17"/>
      <c r="C300" s="17" t="s">
        <v>77</v>
      </c>
      <c r="D300" s="17"/>
      <c r="E300" s="17">
        <v>9.7000000000000003E-2</v>
      </c>
      <c r="F300" s="17">
        <v>5.5E-2</v>
      </c>
      <c r="G300" s="17"/>
      <c r="H300" s="17"/>
      <c r="I300" s="17"/>
      <c r="J300" s="17"/>
    </row>
    <row r="301" spans="2:10" x14ac:dyDescent="0.25">
      <c r="B301" s="17" t="s">
        <v>45</v>
      </c>
      <c r="C301" s="17" t="s">
        <v>78</v>
      </c>
      <c r="D301" s="17"/>
      <c r="E301" s="17">
        <v>7.8E-2</v>
      </c>
      <c r="F301" s="17">
        <v>3.5999999999999997E-2</v>
      </c>
      <c r="G301" s="17">
        <v>2</v>
      </c>
      <c r="H301" s="17">
        <v>3.5999999999999997E-2</v>
      </c>
      <c r="I301" s="17">
        <v>0</v>
      </c>
      <c r="J301" s="17">
        <v>0.39300000000000002</v>
      </c>
    </row>
    <row r="302" spans="2:10" x14ac:dyDescent="0.25">
      <c r="B302" s="17"/>
      <c r="C302" s="17" t="s">
        <v>79</v>
      </c>
      <c r="D302" s="17"/>
      <c r="E302" s="17">
        <v>7.8E-2</v>
      </c>
      <c r="F302" s="17">
        <v>3.5999999999999997E-2</v>
      </c>
      <c r="G302" s="17"/>
      <c r="H302" s="17"/>
      <c r="I302" s="17"/>
      <c r="J302" s="17"/>
    </row>
    <row r="303" spans="2:10" x14ac:dyDescent="0.25">
      <c r="B303" s="17" t="s">
        <v>51</v>
      </c>
      <c r="C303" s="17" t="s">
        <v>80</v>
      </c>
      <c r="D303" s="17"/>
      <c r="E303" s="17">
        <v>0.115</v>
      </c>
      <c r="F303" s="17">
        <v>7.2999999999999995E-2</v>
      </c>
      <c r="G303" s="17">
        <v>2</v>
      </c>
      <c r="H303" s="17">
        <v>7.2999999999999995E-2</v>
      </c>
      <c r="I303" s="17">
        <v>1E-3</v>
      </c>
      <c r="J303" s="17">
        <v>0.97499999999999998</v>
      </c>
    </row>
    <row r="304" spans="2:10" x14ac:dyDescent="0.25">
      <c r="B304" s="17"/>
      <c r="C304" s="17" t="s">
        <v>81</v>
      </c>
      <c r="D304" s="17"/>
      <c r="E304" s="17">
        <v>0.114</v>
      </c>
      <c r="F304" s="17">
        <v>7.1999999999999995E-2</v>
      </c>
      <c r="G304" s="17"/>
      <c r="H304" s="17"/>
      <c r="I304" s="17"/>
      <c r="J304" s="17"/>
    </row>
    <row r="305" spans="2:10" x14ac:dyDescent="0.25">
      <c r="B305" s="17" t="s">
        <v>57</v>
      </c>
      <c r="C305" s="17" t="s">
        <v>82</v>
      </c>
      <c r="D305" s="17"/>
      <c r="E305" s="17">
        <v>7.2999999999999995E-2</v>
      </c>
      <c r="F305" s="17">
        <v>3.1E-2</v>
      </c>
      <c r="G305" s="17">
        <v>2</v>
      </c>
      <c r="H305" s="17">
        <v>3.5000000000000003E-2</v>
      </c>
      <c r="I305" s="17">
        <v>6.0000000000000001E-3</v>
      </c>
      <c r="J305" s="17">
        <v>16.425999999999998</v>
      </c>
    </row>
    <row r="306" spans="2:10" x14ac:dyDescent="0.25">
      <c r="B306" s="17"/>
      <c r="C306" s="17" t="s">
        <v>83</v>
      </c>
      <c r="D306" s="17"/>
      <c r="E306" s="17">
        <v>8.2000000000000003E-2</v>
      </c>
      <c r="F306" s="17">
        <v>3.9E-2</v>
      </c>
      <c r="G306" s="17"/>
      <c r="H306" s="17"/>
      <c r="I306" s="17"/>
      <c r="J306" s="17"/>
    </row>
    <row r="307" spans="2:10" x14ac:dyDescent="0.25">
      <c r="B307" s="17" t="s">
        <v>38</v>
      </c>
      <c r="C307" s="17" t="s">
        <v>84</v>
      </c>
      <c r="D307" s="17"/>
      <c r="E307" s="17">
        <v>9.2999999999999999E-2</v>
      </c>
      <c r="F307" s="17">
        <v>5.0999999999999997E-2</v>
      </c>
      <c r="G307" s="17">
        <v>2</v>
      </c>
      <c r="H307" s="17">
        <v>5.7000000000000002E-2</v>
      </c>
      <c r="I307" s="17">
        <v>8.9999999999999993E-3</v>
      </c>
      <c r="J307" s="17">
        <v>15.631</v>
      </c>
    </row>
    <row r="308" spans="2:10" x14ac:dyDescent="0.25">
      <c r="B308" s="17"/>
      <c r="C308" s="17" t="s">
        <v>85</v>
      </c>
      <c r="D308" s="17"/>
      <c r="E308" s="17">
        <v>0.106</v>
      </c>
      <c r="F308" s="17">
        <v>6.4000000000000001E-2</v>
      </c>
      <c r="G308" s="17"/>
      <c r="H308" s="17"/>
      <c r="I308" s="17"/>
      <c r="J308" s="17"/>
    </row>
    <row r="309" spans="2:10" x14ac:dyDescent="0.25">
      <c r="B309" s="17" t="s">
        <v>46</v>
      </c>
      <c r="C309" s="17" t="s">
        <v>86</v>
      </c>
      <c r="D309" s="17"/>
      <c r="E309" s="17">
        <v>0.13600000000000001</v>
      </c>
      <c r="F309" s="17">
        <v>9.4E-2</v>
      </c>
      <c r="G309" s="17">
        <v>2</v>
      </c>
      <c r="H309" s="17">
        <v>0.10100000000000001</v>
      </c>
      <c r="I309" s="17">
        <v>0.01</v>
      </c>
      <c r="J309" s="17">
        <v>9.5589999999999993</v>
      </c>
    </row>
    <row r="310" spans="2:10" x14ac:dyDescent="0.25">
      <c r="B310" s="17"/>
      <c r="C310" s="17" t="s">
        <v>87</v>
      </c>
      <c r="D310" s="17"/>
      <c r="E310" s="17">
        <v>0.15</v>
      </c>
      <c r="F310" s="17">
        <v>0.107</v>
      </c>
      <c r="G310" s="17"/>
      <c r="H310" s="17"/>
      <c r="I310" s="17"/>
      <c r="J310" s="17"/>
    </row>
    <row r="311" spans="2:10" x14ac:dyDescent="0.25">
      <c r="B311" s="17" t="s">
        <v>52</v>
      </c>
      <c r="C311" s="17" t="s">
        <v>139</v>
      </c>
      <c r="D311" s="17"/>
      <c r="E311" s="17">
        <v>0.13500000000000001</v>
      </c>
      <c r="F311" s="17">
        <v>9.1999999999999998E-2</v>
      </c>
      <c r="G311" s="17">
        <v>2</v>
      </c>
      <c r="H311" s="17">
        <v>9.0999999999999998E-2</v>
      </c>
      <c r="I311" s="17">
        <v>2E-3</v>
      </c>
      <c r="J311" s="17">
        <v>2.339</v>
      </c>
    </row>
    <row r="312" spans="2:10" x14ac:dyDescent="0.25">
      <c r="B312" s="17"/>
      <c r="C312" s="17" t="s">
        <v>140</v>
      </c>
      <c r="D312" s="17"/>
      <c r="E312" s="17">
        <v>0.13200000000000001</v>
      </c>
      <c r="F312" s="17">
        <v>8.8999999999999996E-2</v>
      </c>
      <c r="G312" s="17"/>
      <c r="H312" s="17"/>
      <c r="I312" s="17"/>
      <c r="J312" s="17"/>
    </row>
    <row r="313" spans="2:10" x14ac:dyDescent="0.25">
      <c r="B313" s="17" t="s">
        <v>132</v>
      </c>
      <c r="C313" s="17" t="s">
        <v>141</v>
      </c>
      <c r="D313" s="17"/>
      <c r="E313" s="17">
        <v>8.2000000000000003E-2</v>
      </c>
      <c r="F313" s="17">
        <v>3.9E-2</v>
      </c>
      <c r="G313" s="17">
        <v>2</v>
      </c>
      <c r="H313" s="17">
        <v>4.1000000000000002E-2</v>
      </c>
      <c r="I313" s="17">
        <v>3.0000000000000001E-3</v>
      </c>
      <c r="J313" s="17">
        <v>6.8479999999999999</v>
      </c>
    </row>
    <row r="314" spans="2:10" x14ac:dyDescent="0.25">
      <c r="B314" s="17"/>
      <c r="C314" s="17" t="s">
        <v>142</v>
      </c>
      <c r="D314" s="17"/>
      <c r="E314" s="17">
        <v>8.5999999999999993E-2</v>
      </c>
      <c r="F314" s="17">
        <v>4.2999999999999997E-2</v>
      </c>
      <c r="G314" s="17"/>
      <c r="H314" s="17"/>
      <c r="I314" s="17"/>
      <c r="J314" s="17"/>
    </row>
    <row r="315" spans="2:10" x14ac:dyDescent="0.25">
      <c r="B315" s="17" t="s">
        <v>135</v>
      </c>
      <c r="C315" s="17" t="s">
        <v>143</v>
      </c>
      <c r="D315" s="17"/>
      <c r="E315" s="17">
        <v>0.188</v>
      </c>
      <c r="F315" s="17">
        <v>0.14599999999999999</v>
      </c>
      <c r="G315" s="17">
        <v>2</v>
      </c>
      <c r="H315" s="17">
        <v>0.14399999999999999</v>
      </c>
      <c r="I315" s="17">
        <v>3.0000000000000001E-3</v>
      </c>
      <c r="J315" s="17">
        <v>2.4119999999999999</v>
      </c>
    </row>
    <row r="316" spans="2:10" x14ac:dyDescent="0.25">
      <c r="B316" s="17"/>
      <c r="C316" s="17" t="s">
        <v>144</v>
      </c>
      <c r="D316" s="17"/>
      <c r="E316" s="17">
        <v>0.184</v>
      </c>
      <c r="F316" s="17">
        <v>0.14099999999999999</v>
      </c>
      <c r="G316" s="17"/>
      <c r="H316" s="17"/>
      <c r="I316" s="17"/>
      <c r="J316" s="17"/>
    </row>
    <row r="317" spans="2:10" x14ac:dyDescent="0.25">
      <c r="B317" s="17" t="s">
        <v>137</v>
      </c>
      <c r="C317" s="17" t="s">
        <v>145</v>
      </c>
      <c r="D317" s="17"/>
      <c r="E317" s="17">
        <v>0.11899999999999999</v>
      </c>
      <c r="F317" s="17">
        <v>7.6999999999999999E-2</v>
      </c>
      <c r="G317" s="17">
        <v>2</v>
      </c>
      <c r="H317" s="17">
        <v>8.2000000000000003E-2</v>
      </c>
      <c r="I317" s="17">
        <v>8.0000000000000002E-3</v>
      </c>
      <c r="J317" s="17">
        <v>9.1880000000000006</v>
      </c>
    </row>
    <row r="318" spans="2:10" x14ac:dyDescent="0.25">
      <c r="B318" s="17"/>
      <c r="C318" s="17" t="s">
        <v>146</v>
      </c>
      <c r="D318" s="17"/>
      <c r="E318" s="17">
        <v>0.13</v>
      </c>
      <c r="F318" s="17">
        <v>8.7999999999999995E-2</v>
      </c>
      <c r="G318" s="17"/>
      <c r="H318" s="17"/>
      <c r="I318" s="17"/>
      <c r="J318" s="17"/>
    </row>
    <row r="319" spans="2:10" x14ac:dyDescent="0.25">
      <c r="B319" s="17" t="s">
        <v>131</v>
      </c>
      <c r="C319" s="17" t="s">
        <v>147</v>
      </c>
      <c r="D319" s="17"/>
      <c r="E319" s="17">
        <v>9.0999999999999998E-2</v>
      </c>
      <c r="F319" s="17">
        <v>4.9000000000000002E-2</v>
      </c>
      <c r="G319" s="17">
        <v>2</v>
      </c>
      <c r="H319" s="17">
        <v>5.0999999999999997E-2</v>
      </c>
      <c r="I319" s="17">
        <v>2E-3</v>
      </c>
      <c r="J319" s="17">
        <v>4.6159999999999997</v>
      </c>
    </row>
    <row r="320" spans="2:10" x14ac:dyDescent="0.25">
      <c r="B320" s="17"/>
      <c r="C320" s="17" t="s">
        <v>148</v>
      </c>
      <c r="D320" s="17"/>
      <c r="E320" s="17">
        <v>9.5000000000000001E-2</v>
      </c>
      <c r="F320" s="17">
        <v>5.1999999999999998E-2</v>
      </c>
      <c r="G320" s="17"/>
      <c r="H320" s="17"/>
      <c r="I320" s="17"/>
      <c r="J320" s="17"/>
    </row>
    <row r="321" spans="2:10" x14ac:dyDescent="0.25">
      <c r="B321" s="17" t="s">
        <v>133</v>
      </c>
      <c r="C321" s="17" t="s">
        <v>149</v>
      </c>
      <c r="D321" s="17"/>
      <c r="E321" s="17">
        <v>7.1999999999999995E-2</v>
      </c>
      <c r="F321" s="17">
        <v>0.03</v>
      </c>
      <c r="G321" s="17">
        <v>2</v>
      </c>
      <c r="H321" s="17">
        <v>0.03</v>
      </c>
      <c r="I321" s="17">
        <v>0</v>
      </c>
      <c r="J321" s="17">
        <v>0.46700000000000003</v>
      </c>
    </row>
    <row r="322" spans="2:10" x14ac:dyDescent="0.25">
      <c r="B322" s="17"/>
      <c r="C322" s="17" t="s">
        <v>150</v>
      </c>
      <c r="D322" s="17"/>
      <c r="E322" s="17">
        <v>7.2999999999999995E-2</v>
      </c>
      <c r="F322" s="17">
        <v>0.03</v>
      </c>
      <c r="G322" s="17"/>
      <c r="H322" s="17"/>
      <c r="I322" s="17"/>
      <c r="J322" s="17"/>
    </row>
    <row r="323" spans="2:10" x14ac:dyDescent="0.25">
      <c r="B323" s="17" t="s">
        <v>136</v>
      </c>
      <c r="C323" s="17" t="s">
        <v>151</v>
      </c>
      <c r="D323" s="17"/>
      <c r="E323" s="17">
        <v>0.11600000000000001</v>
      </c>
      <c r="F323" s="17">
        <v>7.3999999999999996E-2</v>
      </c>
      <c r="G323" s="17">
        <v>2</v>
      </c>
      <c r="H323" s="17">
        <v>7.6999999999999999E-2</v>
      </c>
      <c r="I323" s="17">
        <v>5.0000000000000001E-3</v>
      </c>
      <c r="J323" s="17">
        <v>6.2530000000000001</v>
      </c>
    </row>
    <row r="324" spans="2:10" x14ac:dyDescent="0.25">
      <c r="B324" s="17"/>
      <c r="C324" s="17" t="s">
        <v>152</v>
      </c>
      <c r="D324" s="17"/>
      <c r="E324" s="17">
        <v>0.123</v>
      </c>
      <c r="F324" s="17">
        <v>0.08</v>
      </c>
      <c r="G324" s="17"/>
      <c r="H324" s="17"/>
      <c r="I324" s="17"/>
      <c r="J324" s="17"/>
    </row>
    <row r="325" spans="2:10" x14ac:dyDescent="0.25">
      <c r="B325" s="17" t="s">
        <v>138</v>
      </c>
      <c r="C325" s="17" t="s">
        <v>153</v>
      </c>
      <c r="D325" s="17"/>
      <c r="E325" s="17">
        <v>7.0000000000000007E-2</v>
      </c>
      <c r="F325" s="17">
        <v>2.7E-2</v>
      </c>
      <c r="G325" s="17">
        <v>2</v>
      </c>
      <c r="H325" s="17">
        <v>6.2E-2</v>
      </c>
      <c r="I325" s="17">
        <v>0.05</v>
      </c>
      <c r="J325" s="17">
        <v>79.727000000000004</v>
      </c>
    </row>
    <row r="326" spans="2:10" x14ac:dyDescent="0.25">
      <c r="B326" s="17"/>
      <c r="C326" s="17" t="s">
        <v>154</v>
      </c>
      <c r="D326" s="17"/>
      <c r="E326" s="17">
        <v>0.14000000000000001</v>
      </c>
      <c r="F326" s="17">
        <v>9.8000000000000004E-2</v>
      </c>
      <c r="G326" s="17"/>
      <c r="H326" s="17"/>
      <c r="I326" s="17"/>
      <c r="J326" s="17"/>
    </row>
    <row r="327" spans="2:10" x14ac:dyDescent="0.25">
      <c r="B327" s="17" t="s">
        <v>194</v>
      </c>
      <c r="C327" s="17" t="s">
        <v>218</v>
      </c>
      <c r="D327" s="17"/>
      <c r="E327" s="17">
        <v>8.5000000000000006E-2</v>
      </c>
      <c r="F327" s="17">
        <v>4.2999999999999997E-2</v>
      </c>
      <c r="G327" s="17">
        <v>2</v>
      </c>
      <c r="H327" s="17">
        <v>4.5999999999999999E-2</v>
      </c>
      <c r="I327" s="17">
        <v>4.0000000000000001E-3</v>
      </c>
      <c r="J327" s="17">
        <v>9.1590000000000007</v>
      </c>
    </row>
    <row r="328" spans="2:10" x14ac:dyDescent="0.25">
      <c r="B328" s="17"/>
      <c r="C328" s="17" t="s">
        <v>219</v>
      </c>
      <c r="D328" s="17"/>
      <c r="E328" s="17">
        <v>9.0999999999999998E-2</v>
      </c>
      <c r="F328" s="17">
        <v>4.9000000000000002E-2</v>
      </c>
      <c r="G328" s="17"/>
      <c r="H328" s="17"/>
      <c r="I328" s="17"/>
      <c r="J328" s="17"/>
    </row>
    <row r="329" spans="2:10" x14ac:dyDescent="0.25">
      <c r="B329" s="17" t="s">
        <v>200</v>
      </c>
      <c r="C329" s="17" t="s">
        <v>220</v>
      </c>
      <c r="D329" s="17"/>
      <c r="E329" s="17">
        <v>9.4E-2</v>
      </c>
      <c r="F329" s="17">
        <v>5.0999999999999997E-2</v>
      </c>
      <c r="G329" s="17">
        <v>2</v>
      </c>
      <c r="H329" s="17">
        <v>5.1999999999999998E-2</v>
      </c>
      <c r="I329" s="17">
        <v>1E-3</v>
      </c>
      <c r="J329" s="17">
        <v>2.1720000000000002</v>
      </c>
    </row>
    <row r="330" spans="2:10" x14ac:dyDescent="0.25">
      <c r="B330" s="17"/>
      <c r="C330" s="17" t="s">
        <v>221</v>
      </c>
      <c r="D330" s="17"/>
      <c r="E330" s="17">
        <v>9.5000000000000001E-2</v>
      </c>
      <c r="F330" s="17">
        <v>5.2999999999999999E-2</v>
      </c>
      <c r="G330" s="17"/>
      <c r="H330" s="17"/>
      <c r="I330" s="17"/>
      <c r="J330" s="17"/>
    </row>
    <row r="331" spans="2:10" x14ac:dyDescent="0.25">
      <c r="B331" s="17" t="s">
        <v>206</v>
      </c>
      <c r="C331" s="17" t="s">
        <v>222</v>
      </c>
      <c r="D331" s="17"/>
      <c r="E331" s="17">
        <v>4.4999999999999998E-2</v>
      </c>
      <c r="F331" s="17">
        <v>2E-3</v>
      </c>
      <c r="G331" s="17">
        <v>2</v>
      </c>
      <c r="H331" s="17">
        <v>2E-3</v>
      </c>
      <c r="I331" s="17">
        <v>0</v>
      </c>
      <c r="J331" s="17">
        <v>6.149</v>
      </c>
    </row>
    <row r="332" spans="2:10" x14ac:dyDescent="0.25">
      <c r="B332" s="17"/>
      <c r="C332" s="17" t="s">
        <v>223</v>
      </c>
      <c r="D332" s="17"/>
      <c r="E332" s="17">
        <v>4.3999999999999997E-2</v>
      </c>
      <c r="F332" s="17">
        <v>2E-3</v>
      </c>
      <c r="G332" s="17"/>
      <c r="H332" s="17"/>
      <c r="I332" s="17"/>
      <c r="J332" s="17"/>
    </row>
    <row r="333" spans="2:10" x14ac:dyDescent="0.25">
      <c r="B333" s="17" t="s">
        <v>212</v>
      </c>
      <c r="C333" s="17" t="s">
        <v>224</v>
      </c>
      <c r="D333" s="17"/>
      <c r="E333" s="17">
        <v>0.16700000000000001</v>
      </c>
      <c r="F333" s="17">
        <v>0.124</v>
      </c>
      <c r="G333" s="17">
        <v>2</v>
      </c>
      <c r="H333" s="17">
        <v>0.13300000000000001</v>
      </c>
      <c r="I333" s="17">
        <v>1.2E-2</v>
      </c>
      <c r="J333" s="17">
        <v>9.343</v>
      </c>
    </row>
    <row r="334" spans="2:10" x14ac:dyDescent="0.25">
      <c r="B334" s="17"/>
      <c r="C334" s="17" t="s">
        <v>225</v>
      </c>
      <c r="D334" s="17"/>
      <c r="E334" s="17">
        <v>0.184</v>
      </c>
      <c r="F334" s="17">
        <v>0.14199999999999999</v>
      </c>
      <c r="G334" s="17"/>
      <c r="H334" s="17"/>
      <c r="I334" s="17"/>
      <c r="J334" s="17"/>
    </row>
    <row r="335" spans="2:10" x14ac:dyDescent="0.25">
      <c r="B335" s="17" t="s">
        <v>195</v>
      </c>
      <c r="C335" s="17" t="s">
        <v>226</v>
      </c>
      <c r="D335" s="17"/>
      <c r="E335" s="17">
        <v>0.14599999999999999</v>
      </c>
      <c r="F335" s="17">
        <v>0.104</v>
      </c>
      <c r="G335" s="17">
        <v>2</v>
      </c>
      <c r="H335" s="17">
        <v>0.109</v>
      </c>
      <c r="I335" s="17">
        <v>7.0000000000000001E-3</v>
      </c>
      <c r="J335" s="17">
        <v>6.3070000000000004</v>
      </c>
    </row>
    <row r="336" spans="2:10" x14ac:dyDescent="0.25">
      <c r="B336" s="17"/>
      <c r="C336" s="17" t="s">
        <v>227</v>
      </c>
      <c r="D336" s="17"/>
      <c r="E336" s="17">
        <v>0.156</v>
      </c>
      <c r="F336" s="17">
        <v>0.114</v>
      </c>
      <c r="G336" s="17"/>
      <c r="H336" s="17"/>
      <c r="I336" s="17"/>
      <c r="J336" s="17"/>
    </row>
    <row r="337" spans="2:10" x14ac:dyDescent="0.25">
      <c r="B337" s="17" t="s">
        <v>201</v>
      </c>
      <c r="C337" s="17" t="s">
        <v>228</v>
      </c>
      <c r="D337" s="17"/>
      <c r="E337" s="17">
        <v>0.161</v>
      </c>
      <c r="F337" s="17">
        <v>0.11799999999999999</v>
      </c>
      <c r="G337" s="17">
        <v>2</v>
      </c>
      <c r="H337" s="17">
        <v>0.129</v>
      </c>
      <c r="I337" s="17">
        <v>1.4E-2</v>
      </c>
      <c r="J337" s="17">
        <v>11.116</v>
      </c>
    </row>
    <row r="338" spans="2:10" x14ac:dyDescent="0.25">
      <c r="B338" s="17"/>
      <c r="C338" s="17" t="s">
        <v>229</v>
      </c>
      <c r="D338" s="17"/>
      <c r="E338" s="17">
        <v>0.18099999999999999</v>
      </c>
      <c r="F338" s="17">
        <v>0.13900000000000001</v>
      </c>
      <c r="G338" s="17"/>
      <c r="H338" s="17"/>
      <c r="I338" s="17"/>
      <c r="J338" s="17"/>
    </row>
    <row r="339" spans="2:10" x14ac:dyDescent="0.25">
      <c r="B339" s="17" t="s">
        <v>207</v>
      </c>
      <c r="C339" s="17" t="s">
        <v>230</v>
      </c>
      <c r="D339" s="17"/>
      <c r="E339" s="17">
        <v>0.12</v>
      </c>
      <c r="F339" s="17">
        <v>7.8E-2</v>
      </c>
      <c r="G339" s="17">
        <v>2</v>
      </c>
      <c r="H339" s="17">
        <v>7.4999999999999997E-2</v>
      </c>
      <c r="I339" s="17">
        <v>4.0000000000000001E-3</v>
      </c>
      <c r="J339" s="17">
        <v>4.9089999999999998</v>
      </c>
    </row>
    <row r="340" spans="2:10" x14ac:dyDescent="0.25">
      <c r="B340" s="17"/>
      <c r="C340" s="17" t="s">
        <v>231</v>
      </c>
      <c r="D340" s="17"/>
      <c r="E340" s="17">
        <v>0.115</v>
      </c>
      <c r="F340" s="17">
        <v>7.1999999999999995E-2</v>
      </c>
      <c r="G340" s="17"/>
      <c r="H340" s="17"/>
      <c r="I340" s="17"/>
      <c r="J340" s="17"/>
    </row>
    <row r="341" spans="2:10" x14ac:dyDescent="0.25">
      <c r="B341" s="17" t="s">
        <v>213</v>
      </c>
      <c r="C341" s="17" t="s">
        <v>232</v>
      </c>
      <c r="D341" s="17"/>
      <c r="E341" s="17">
        <v>0.125</v>
      </c>
      <c r="F341" s="17">
        <v>8.3000000000000004E-2</v>
      </c>
      <c r="G341" s="17">
        <v>2</v>
      </c>
      <c r="H341" s="17">
        <v>8.5000000000000006E-2</v>
      </c>
      <c r="I341" s="17">
        <v>2E-3</v>
      </c>
      <c r="J341" s="17">
        <v>2.593</v>
      </c>
    </row>
    <row r="342" spans="2:10" x14ac:dyDescent="0.25">
      <c r="B342" s="17"/>
      <c r="C342" s="17" t="s">
        <v>233</v>
      </c>
      <c r="D342" s="17"/>
      <c r="E342" s="17">
        <v>0.128</v>
      </c>
      <c r="F342" s="17">
        <v>8.5999999999999993E-2</v>
      </c>
      <c r="G342" s="17"/>
      <c r="H342" s="17"/>
      <c r="I342" s="17"/>
      <c r="J342" s="17"/>
    </row>
    <row r="343" spans="2:10" x14ac:dyDescent="0.25">
      <c r="B343" s="17" t="s">
        <v>196</v>
      </c>
      <c r="C343" s="17" t="s">
        <v>234</v>
      </c>
      <c r="D343" s="17"/>
      <c r="E343" s="17">
        <v>8.2000000000000003E-2</v>
      </c>
      <c r="F343" s="17">
        <v>0.04</v>
      </c>
      <c r="G343" s="17">
        <v>2</v>
      </c>
      <c r="H343" s="17">
        <v>4.1000000000000002E-2</v>
      </c>
      <c r="I343" s="17">
        <v>2E-3</v>
      </c>
      <c r="J343" s="17">
        <v>4.4950000000000001</v>
      </c>
    </row>
    <row r="344" spans="2:10" x14ac:dyDescent="0.25">
      <c r="B344" s="17"/>
      <c r="C344" s="17" t="s">
        <v>235</v>
      </c>
      <c r="D344" s="17"/>
      <c r="E344" s="17">
        <v>8.5000000000000006E-2</v>
      </c>
      <c r="F344" s="17">
        <v>4.2000000000000003E-2</v>
      </c>
      <c r="G344" s="17"/>
      <c r="H344" s="17"/>
      <c r="I344" s="17"/>
      <c r="J344" s="17"/>
    </row>
    <row r="345" spans="2:10" x14ac:dyDescent="0.25">
      <c r="B345" s="17" t="s">
        <v>202</v>
      </c>
      <c r="C345" s="17" t="s">
        <v>236</v>
      </c>
      <c r="D345" s="17"/>
      <c r="E345" s="17">
        <v>5.8999999999999997E-2</v>
      </c>
      <c r="F345" s="17">
        <v>1.7000000000000001E-2</v>
      </c>
      <c r="G345" s="17">
        <v>2</v>
      </c>
      <c r="H345" s="17">
        <v>1.7999999999999999E-2</v>
      </c>
      <c r="I345" s="17">
        <v>2E-3</v>
      </c>
      <c r="J345" s="17">
        <v>10.635999999999999</v>
      </c>
    </row>
    <row r="346" spans="2:10" x14ac:dyDescent="0.25">
      <c r="B346" s="17"/>
      <c r="C346" s="17" t="s">
        <v>237</v>
      </c>
      <c r="D346" s="17"/>
      <c r="E346" s="17">
        <v>6.2E-2</v>
      </c>
      <c r="F346" s="17">
        <v>1.9E-2</v>
      </c>
      <c r="G346" s="17"/>
      <c r="H346" s="17"/>
      <c r="I346" s="17"/>
      <c r="J346" s="17"/>
    </row>
    <row r="347" spans="2:10" x14ac:dyDescent="0.25">
      <c r="B347" s="17" t="s">
        <v>208</v>
      </c>
      <c r="C347" s="17" t="s">
        <v>238</v>
      </c>
      <c r="D347" s="17"/>
      <c r="E347" s="17">
        <v>0.2</v>
      </c>
      <c r="F347" s="17">
        <v>0.158</v>
      </c>
      <c r="G347" s="17">
        <v>2</v>
      </c>
      <c r="H347" s="17">
        <v>0.159</v>
      </c>
      <c r="I347" s="17">
        <v>1E-3</v>
      </c>
      <c r="J347" s="17">
        <v>0.75700000000000001</v>
      </c>
    </row>
    <row r="348" spans="2:10" x14ac:dyDescent="0.25">
      <c r="B348" s="17"/>
      <c r="C348" s="17" t="s">
        <v>239</v>
      </c>
      <c r="D348" s="17"/>
      <c r="E348" s="17">
        <v>0.20200000000000001</v>
      </c>
      <c r="F348" s="17">
        <v>0.16</v>
      </c>
      <c r="G348" s="17"/>
      <c r="H348" s="17"/>
      <c r="I348" s="17"/>
      <c r="J348" s="17"/>
    </row>
    <row r="349" spans="2:10" x14ac:dyDescent="0.25">
      <c r="B349" s="17" t="s">
        <v>214</v>
      </c>
      <c r="C349" s="17" t="s">
        <v>240</v>
      </c>
      <c r="D349" s="17"/>
      <c r="E349" s="17">
        <v>0.11600000000000001</v>
      </c>
      <c r="F349" s="17">
        <v>7.3999999999999996E-2</v>
      </c>
      <c r="G349" s="17">
        <v>2</v>
      </c>
      <c r="H349" s="17">
        <v>7.4999999999999997E-2</v>
      </c>
      <c r="I349" s="17">
        <v>2E-3</v>
      </c>
      <c r="J349" s="17">
        <v>2.2570000000000001</v>
      </c>
    </row>
    <row r="350" spans="2:10" x14ac:dyDescent="0.25">
      <c r="B350" s="17"/>
      <c r="C350" s="17" t="s">
        <v>241</v>
      </c>
      <c r="D350" s="17"/>
      <c r="E350" s="17">
        <v>0.11899999999999999</v>
      </c>
      <c r="F350" s="17">
        <v>7.5999999999999998E-2</v>
      </c>
      <c r="G350" s="17"/>
      <c r="H350" s="17"/>
      <c r="I350" s="17"/>
      <c r="J350" s="17"/>
    </row>
    <row r="351" spans="2:10" x14ac:dyDescent="0.25">
      <c r="B351" s="17" t="s">
        <v>197</v>
      </c>
      <c r="C351" s="17" t="s">
        <v>242</v>
      </c>
      <c r="D351" s="17"/>
      <c r="E351" s="17">
        <v>7.5999999999999998E-2</v>
      </c>
      <c r="F351" s="17">
        <v>3.4000000000000002E-2</v>
      </c>
      <c r="G351" s="17">
        <v>2</v>
      </c>
      <c r="H351" s="17">
        <v>3.5999999999999997E-2</v>
      </c>
      <c r="I351" s="17">
        <v>3.0000000000000001E-3</v>
      </c>
      <c r="J351" s="17">
        <v>8.6910000000000007</v>
      </c>
    </row>
    <row r="352" spans="2:10" x14ac:dyDescent="0.25">
      <c r="B352" s="17"/>
      <c r="C352" s="17" t="s">
        <v>243</v>
      </c>
      <c r="D352" s="17"/>
      <c r="E352" s="17">
        <v>0.08</v>
      </c>
      <c r="F352" s="17">
        <v>3.7999999999999999E-2</v>
      </c>
      <c r="G352" s="17"/>
      <c r="H352" s="17"/>
      <c r="I352" s="17"/>
      <c r="J352" s="17"/>
    </row>
    <row r="353" spans="2:10" x14ac:dyDescent="0.25">
      <c r="B353" s="17" t="s">
        <v>203</v>
      </c>
      <c r="C353" s="17" t="s">
        <v>244</v>
      </c>
      <c r="D353" s="17"/>
      <c r="E353" s="17">
        <v>0.20399999999999999</v>
      </c>
      <c r="F353" s="17">
        <v>0.161</v>
      </c>
      <c r="G353" s="17">
        <v>2</v>
      </c>
      <c r="H353" s="17">
        <v>0.16200000000000001</v>
      </c>
      <c r="I353" s="17">
        <v>1E-3</v>
      </c>
      <c r="J353" s="17">
        <v>0.39300000000000002</v>
      </c>
    </row>
    <row r="354" spans="2:10" x14ac:dyDescent="0.25">
      <c r="B354" s="17"/>
      <c r="C354" s="17" t="s">
        <v>245</v>
      </c>
      <c r="D354" s="17"/>
      <c r="E354" s="17">
        <v>0.20399999999999999</v>
      </c>
      <c r="F354" s="17">
        <v>0.16200000000000001</v>
      </c>
      <c r="G354" s="17"/>
      <c r="H354" s="17"/>
      <c r="I354" s="17"/>
      <c r="J354" s="17"/>
    </row>
    <row r="355" spans="2:10" x14ac:dyDescent="0.25">
      <c r="B355" s="17" t="s">
        <v>209</v>
      </c>
      <c r="C355" s="17" t="s">
        <v>246</v>
      </c>
      <c r="D355" s="17"/>
      <c r="E355" s="17">
        <v>0.17100000000000001</v>
      </c>
      <c r="F355" s="17">
        <v>0.129</v>
      </c>
      <c r="G355" s="17">
        <v>2</v>
      </c>
      <c r="H355" s="17">
        <v>0.13700000000000001</v>
      </c>
      <c r="I355" s="17">
        <v>1.0999999999999999E-2</v>
      </c>
      <c r="J355" s="17">
        <v>7.8739999999999997</v>
      </c>
    </row>
    <row r="356" spans="2:10" x14ac:dyDescent="0.25">
      <c r="B356" s="17"/>
      <c r="C356" s="17" t="s">
        <v>247</v>
      </c>
      <c r="D356" s="17"/>
      <c r="E356" s="17">
        <v>0.186</v>
      </c>
      <c r="F356" s="17">
        <v>0.14399999999999999</v>
      </c>
      <c r="G356" s="17"/>
      <c r="H356" s="17"/>
      <c r="I356" s="17"/>
      <c r="J356" s="17"/>
    </row>
    <row r="357" spans="2:10" x14ac:dyDescent="0.25">
      <c r="B357" s="17" t="s">
        <v>215</v>
      </c>
      <c r="C357" s="17" t="s">
        <v>248</v>
      </c>
      <c r="D357" s="17"/>
      <c r="E357" s="17">
        <v>7.8E-2</v>
      </c>
      <c r="F357" s="17">
        <v>3.5999999999999997E-2</v>
      </c>
      <c r="G357" s="17">
        <v>2</v>
      </c>
      <c r="H357" s="17">
        <v>0.09</v>
      </c>
      <c r="I357" s="17">
        <v>7.5999999999999998E-2</v>
      </c>
      <c r="J357" s="17">
        <v>84.79</v>
      </c>
    </row>
    <row r="358" spans="2:10" x14ac:dyDescent="0.25">
      <c r="B358" s="17"/>
      <c r="C358" s="17" t="s">
        <v>249</v>
      </c>
      <c r="D358" s="17"/>
      <c r="E358" s="17">
        <v>0.186</v>
      </c>
      <c r="F358" s="17">
        <v>0.14299999999999999</v>
      </c>
      <c r="G358" s="17"/>
      <c r="H358" s="17"/>
      <c r="I358" s="17"/>
      <c r="J358" s="17"/>
    </row>
    <row r="359" spans="2:10" x14ac:dyDescent="0.25">
      <c r="B359" s="17" t="s">
        <v>198</v>
      </c>
      <c r="C359" s="17" t="s">
        <v>250</v>
      </c>
      <c r="D359" s="17"/>
      <c r="E359" s="17">
        <v>7.0999999999999994E-2</v>
      </c>
      <c r="F359" s="17">
        <v>2.8000000000000001E-2</v>
      </c>
      <c r="G359" s="17">
        <v>2</v>
      </c>
      <c r="H359" s="17">
        <v>3.1E-2</v>
      </c>
      <c r="I359" s="17">
        <v>3.0000000000000001E-3</v>
      </c>
      <c r="J359" s="17">
        <v>10.167999999999999</v>
      </c>
    </row>
    <row r="360" spans="2:10" x14ac:dyDescent="0.25">
      <c r="B360" s="17"/>
      <c r="C360" s="17" t="s">
        <v>251</v>
      </c>
      <c r="D360" s="17"/>
      <c r="E360" s="17">
        <v>7.4999999999999997E-2</v>
      </c>
      <c r="F360" s="17">
        <v>3.3000000000000002E-2</v>
      </c>
      <c r="G360" s="17"/>
      <c r="H360" s="17"/>
      <c r="I360" s="17"/>
      <c r="J360" s="17"/>
    </row>
    <row r="361" spans="2:10" x14ac:dyDescent="0.25">
      <c r="B361" s="17" t="s">
        <v>204</v>
      </c>
      <c r="C361" s="17" t="s">
        <v>252</v>
      </c>
      <c r="D361" s="17"/>
      <c r="E361" s="17">
        <v>0.13400000000000001</v>
      </c>
      <c r="F361" s="17">
        <v>9.1999999999999998E-2</v>
      </c>
      <c r="G361" s="17">
        <v>2</v>
      </c>
      <c r="H361" s="17">
        <v>9.2999999999999999E-2</v>
      </c>
      <c r="I361" s="17">
        <v>2E-3</v>
      </c>
      <c r="J361" s="17">
        <v>2.194</v>
      </c>
    </row>
    <row r="362" spans="2:10" x14ac:dyDescent="0.25">
      <c r="B362" s="17"/>
      <c r="C362" s="17" t="s">
        <v>253</v>
      </c>
      <c r="D362" s="17"/>
      <c r="E362" s="17">
        <v>0.13700000000000001</v>
      </c>
      <c r="F362" s="17">
        <v>9.5000000000000001E-2</v>
      </c>
      <c r="G362" s="17"/>
      <c r="H362" s="17"/>
      <c r="I362" s="17"/>
      <c r="J362" s="17"/>
    </row>
    <row r="363" spans="2:10" x14ac:dyDescent="0.25">
      <c r="B363" s="17" t="s">
        <v>210</v>
      </c>
      <c r="C363" s="17" t="s">
        <v>254</v>
      </c>
      <c r="D363" s="17"/>
      <c r="E363" s="17">
        <v>0.191</v>
      </c>
      <c r="F363" s="17">
        <v>0.14799999999999999</v>
      </c>
      <c r="G363" s="17">
        <v>2</v>
      </c>
      <c r="H363" s="17">
        <v>0.16300000000000001</v>
      </c>
      <c r="I363" s="17">
        <v>2.1000000000000001E-2</v>
      </c>
      <c r="J363" s="17">
        <v>12.833</v>
      </c>
    </row>
    <row r="364" spans="2:10" x14ac:dyDescent="0.25">
      <c r="B364" s="17"/>
      <c r="C364" s="17" t="s">
        <v>255</v>
      </c>
      <c r="D364" s="17"/>
      <c r="E364" s="17">
        <v>0.22</v>
      </c>
      <c r="F364" s="17">
        <v>0.17799999999999999</v>
      </c>
      <c r="G364" s="17"/>
      <c r="H364" s="17"/>
      <c r="I364" s="17"/>
      <c r="J364" s="17"/>
    </row>
    <row r="365" spans="2:10" x14ac:dyDescent="0.25">
      <c r="B365" s="17" t="s">
        <v>216</v>
      </c>
      <c r="C365" s="17" t="s">
        <v>256</v>
      </c>
      <c r="D365" s="17"/>
      <c r="E365" s="17">
        <v>7.5999999999999998E-2</v>
      </c>
      <c r="F365" s="17">
        <v>3.4000000000000002E-2</v>
      </c>
      <c r="G365" s="17">
        <v>2</v>
      </c>
      <c r="H365" s="17">
        <v>3.6999999999999998E-2</v>
      </c>
      <c r="I365" s="17">
        <v>5.0000000000000001E-3</v>
      </c>
      <c r="J365" s="17">
        <v>12.132999999999999</v>
      </c>
    </row>
    <row r="366" spans="2:10" x14ac:dyDescent="0.25">
      <c r="B366" s="17"/>
      <c r="C366" s="17" t="s">
        <v>257</v>
      </c>
      <c r="D366" s="17"/>
      <c r="E366" s="17">
        <v>8.3000000000000004E-2</v>
      </c>
      <c r="F366" s="17">
        <v>4.1000000000000002E-2</v>
      </c>
      <c r="G366" s="17"/>
      <c r="H366" s="17"/>
      <c r="I366" s="17"/>
      <c r="J366" s="17"/>
    </row>
    <row r="367" spans="2:10" x14ac:dyDescent="0.25">
      <c r="B367" s="17" t="s">
        <v>199</v>
      </c>
      <c r="C367" s="17" t="s">
        <v>258</v>
      </c>
      <c r="D367" s="17"/>
      <c r="E367" s="17">
        <v>0.19600000000000001</v>
      </c>
      <c r="F367" s="17">
        <v>0.153</v>
      </c>
      <c r="G367" s="17">
        <v>2</v>
      </c>
      <c r="H367" s="17">
        <v>0.151</v>
      </c>
      <c r="I367" s="17">
        <v>3.0000000000000001E-3</v>
      </c>
      <c r="J367" s="17">
        <v>1.7749999999999999</v>
      </c>
    </row>
    <row r="368" spans="2:10" x14ac:dyDescent="0.25">
      <c r="B368" s="17"/>
      <c r="C368" s="17" t="s">
        <v>259</v>
      </c>
      <c r="D368" s="17"/>
      <c r="E368" s="17">
        <v>0.192</v>
      </c>
      <c r="F368" s="17">
        <v>0.14899999999999999</v>
      </c>
      <c r="G368" s="17"/>
      <c r="H368" s="17"/>
      <c r="I368" s="17"/>
      <c r="J368" s="17"/>
    </row>
    <row r="369" spans="2:10" x14ac:dyDescent="0.25">
      <c r="B369" s="17" t="s">
        <v>205</v>
      </c>
      <c r="C369" s="17" t="s">
        <v>260</v>
      </c>
      <c r="D369" s="17"/>
      <c r="E369" s="17">
        <v>9.4E-2</v>
      </c>
      <c r="F369" s="17">
        <v>5.1999999999999998E-2</v>
      </c>
      <c r="G369" s="17">
        <v>2</v>
      </c>
      <c r="H369" s="17">
        <v>5.5E-2</v>
      </c>
      <c r="I369" s="17">
        <v>5.0000000000000001E-3</v>
      </c>
      <c r="J369" s="17">
        <v>8.3040000000000003</v>
      </c>
    </row>
    <row r="370" spans="2:10" x14ac:dyDescent="0.25">
      <c r="B370" s="17"/>
      <c r="C370" s="17" t="s">
        <v>261</v>
      </c>
      <c r="D370" s="17"/>
      <c r="E370" s="17">
        <v>0.10100000000000001</v>
      </c>
      <c r="F370" s="17">
        <v>5.8999999999999997E-2</v>
      </c>
      <c r="G370" s="17"/>
      <c r="H370" s="17"/>
      <c r="I370" s="17"/>
      <c r="J370" s="17"/>
    </row>
    <row r="371" spans="2:10" x14ac:dyDescent="0.25">
      <c r="B371" s="17" t="s">
        <v>211</v>
      </c>
      <c r="C371" s="17" t="s">
        <v>262</v>
      </c>
      <c r="D371" s="17"/>
      <c r="E371" s="17">
        <v>9.0999999999999998E-2</v>
      </c>
      <c r="F371" s="17">
        <v>4.9000000000000002E-2</v>
      </c>
      <c r="G371" s="17">
        <v>2</v>
      </c>
      <c r="H371" s="17">
        <v>4.9000000000000002E-2</v>
      </c>
      <c r="I371" s="17">
        <v>1E-3</v>
      </c>
      <c r="J371" s="17">
        <v>1.75</v>
      </c>
    </row>
    <row r="372" spans="2:10" x14ac:dyDescent="0.25">
      <c r="B372" s="17"/>
      <c r="C372" s="17" t="s">
        <v>263</v>
      </c>
      <c r="D372" s="17"/>
      <c r="E372" s="17">
        <v>0.09</v>
      </c>
      <c r="F372" s="17">
        <v>4.8000000000000001E-2</v>
      </c>
      <c r="G372" s="17"/>
      <c r="H372" s="17"/>
      <c r="I372" s="17"/>
      <c r="J372" s="17"/>
    </row>
    <row r="373" spans="2:10" x14ac:dyDescent="0.25">
      <c r="B373" s="17" t="s">
        <v>217</v>
      </c>
      <c r="C373" s="17" t="s">
        <v>264</v>
      </c>
      <c r="D373" s="17"/>
      <c r="E373" s="17">
        <v>7.6999999999999999E-2</v>
      </c>
      <c r="F373" s="17">
        <v>3.4000000000000002E-2</v>
      </c>
      <c r="G373" s="17">
        <v>2</v>
      </c>
      <c r="H373" s="17">
        <v>3.5000000000000003E-2</v>
      </c>
      <c r="I373" s="17">
        <v>1E-3</v>
      </c>
      <c r="J373" s="17">
        <v>3.79</v>
      </c>
    </row>
    <row r="374" spans="2:10" x14ac:dyDescent="0.25">
      <c r="B374" s="17"/>
      <c r="C374" s="17" t="s">
        <v>265</v>
      </c>
      <c r="D374" s="17"/>
      <c r="E374" s="17">
        <v>7.9000000000000001E-2</v>
      </c>
      <c r="F374" s="17">
        <v>3.5999999999999997E-2</v>
      </c>
      <c r="G374" s="17"/>
      <c r="H374" s="17"/>
      <c r="I374" s="17"/>
      <c r="J374" s="17"/>
    </row>
    <row r="375" spans="2:10" x14ac:dyDescent="0.25">
      <c r="B375" s="17" t="s">
        <v>98</v>
      </c>
      <c r="C375" s="17" t="s">
        <v>88</v>
      </c>
      <c r="D375" s="17">
        <v>0</v>
      </c>
      <c r="E375" s="17">
        <v>4.2000000000000003E-2</v>
      </c>
      <c r="F375" s="17">
        <v>0</v>
      </c>
      <c r="G375" s="17">
        <v>2</v>
      </c>
      <c r="H375" s="17">
        <v>6.0000000000000001E-3</v>
      </c>
      <c r="I375" s="17">
        <v>8.9999999999999993E-3</v>
      </c>
      <c r="J375" s="17">
        <v>139.19399999999999</v>
      </c>
    </row>
    <row r="376" spans="2:10" x14ac:dyDescent="0.25">
      <c r="B376" s="17"/>
      <c r="C376" s="17" t="s">
        <v>89</v>
      </c>
      <c r="D376" s="17">
        <v>0</v>
      </c>
      <c r="E376" s="17">
        <v>5.5E-2</v>
      </c>
      <c r="F376" s="17">
        <v>1.2999999999999999E-2</v>
      </c>
      <c r="G376" s="17"/>
      <c r="H376" s="17"/>
      <c r="I376" s="17"/>
      <c r="J376" s="17"/>
    </row>
    <row r="377" spans="2:10" x14ac:dyDescent="0.25">
      <c r="B377" s="17" t="s">
        <v>43</v>
      </c>
      <c r="C377" s="17" t="s">
        <v>91</v>
      </c>
      <c r="D377" s="17">
        <v>12.5</v>
      </c>
      <c r="E377" s="17">
        <v>5.8000000000000003E-2</v>
      </c>
      <c r="F377" s="17">
        <v>1.6E-2</v>
      </c>
      <c r="G377" s="17">
        <v>2</v>
      </c>
      <c r="H377" s="17">
        <v>1.4999999999999999E-2</v>
      </c>
      <c r="I377" s="17">
        <v>1E-3</v>
      </c>
      <c r="J377" s="17">
        <v>4.6219999999999999</v>
      </c>
    </row>
    <row r="378" spans="2:10" x14ac:dyDescent="0.25">
      <c r="B378" s="17"/>
      <c r="C378" s="17" t="s">
        <v>90</v>
      </c>
      <c r="D378" s="17">
        <v>12.5</v>
      </c>
      <c r="E378" s="17">
        <v>5.7000000000000002E-2</v>
      </c>
      <c r="F378" s="17">
        <v>1.4999999999999999E-2</v>
      </c>
      <c r="G378" s="17"/>
      <c r="H378" s="17"/>
      <c r="I378" s="17"/>
      <c r="J378" s="17"/>
    </row>
    <row r="379" spans="2:10" x14ac:dyDescent="0.25">
      <c r="B379" s="17" t="s">
        <v>49</v>
      </c>
      <c r="C379" s="17" t="s">
        <v>92</v>
      </c>
      <c r="D379" s="17">
        <v>50</v>
      </c>
      <c r="E379" s="17">
        <v>9.2999999999999999E-2</v>
      </c>
      <c r="F379" s="17">
        <v>5.0999999999999997E-2</v>
      </c>
      <c r="G379" s="17">
        <v>2</v>
      </c>
      <c r="H379" s="17">
        <v>5.2999999999999999E-2</v>
      </c>
      <c r="I379" s="17">
        <v>3.0000000000000001E-3</v>
      </c>
      <c r="J379" s="17">
        <v>4.95</v>
      </c>
    </row>
    <row r="380" spans="2:10" x14ac:dyDescent="0.25">
      <c r="B380" s="17"/>
      <c r="C380" s="17" t="s">
        <v>93</v>
      </c>
      <c r="D380" s="17">
        <v>50</v>
      </c>
      <c r="E380" s="17">
        <v>9.7000000000000003E-2</v>
      </c>
      <c r="F380" s="17">
        <v>5.5E-2</v>
      </c>
      <c r="G380" s="17"/>
      <c r="H380" s="17"/>
      <c r="I380" s="17"/>
      <c r="J380" s="17"/>
    </row>
    <row r="381" spans="2:10" x14ac:dyDescent="0.25">
      <c r="B381" s="17" t="s">
        <v>102</v>
      </c>
      <c r="C381" s="17" t="s">
        <v>94</v>
      </c>
      <c r="D381" s="17">
        <v>100</v>
      </c>
      <c r="E381" s="17">
        <v>0.13300000000000001</v>
      </c>
      <c r="F381" s="17">
        <v>9.0999999999999998E-2</v>
      </c>
      <c r="G381" s="17">
        <v>2</v>
      </c>
      <c r="H381" s="17">
        <v>9.7000000000000003E-2</v>
      </c>
      <c r="I381" s="17">
        <v>8.9999999999999993E-3</v>
      </c>
      <c r="J381" s="17">
        <v>9.6609999999999996</v>
      </c>
    </row>
    <row r="382" spans="2:10" x14ac:dyDescent="0.25">
      <c r="B382" s="17"/>
      <c r="C382" s="17" t="s">
        <v>95</v>
      </c>
      <c r="D382" s="17">
        <v>100</v>
      </c>
      <c r="E382" s="17">
        <v>0.14599999999999999</v>
      </c>
      <c r="F382" s="17">
        <v>0.104</v>
      </c>
      <c r="G382" s="17"/>
      <c r="H382" s="17"/>
      <c r="I382" s="17"/>
      <c r="J382" s="17"/>
    </row>
    <row r="383" spans="2:10" x14ac:dyDescent="0.25">
      <c r="B383" s="17" t="s">
        <v>55</v>
      </c>
      <c r="C383" s="17" t="s">
        <v>66</v>
      </c>
      <c r="D383" s="17">
        <v>150</v>
      </c>
      <c r="E383" s="17">
        <v>0.19800000000000001</v>
      </c>
      <c r="F383" s="17">
        <v>0.156</v>
      </c>
      <c r="G383" s="17">
        <v>2</v>
      </c>
      <c r="H383" s="17">
        <v>0.155</v>
      </c>
      <c r="I383" s="17">
        <v>2E-3</v>
      </c>
      <c r="J383" s="17">
        <v>1.004</v>
      </c>
    </row>
    <row r="384" spans="2:10" x14ac:dyDescent="0.25">
      <c r="B384" s="17"/>
      <c r="C384" s="17" t="s">
        <v>67</v>
      </c>
      <c r="D384" s="17">
        <v>150</v>
      </c>
      <c r="E384" s="17">
        <v>0.19600000000000001</v>
      </c>
      <c r="F384" s="17">
        <v>0.154</v>
      </c>
      <c r="G384" s="17"/>
      <c r="H384" s="17"/>
      <c r="I384" s="17"/>
      <c r="J384" s="17"/>
    </row>
    <row r="385" spans="2:10" x14ac:dyDescent="0.25">
      <c r="B385" s="17" t="s">
        <v>134</v>
      </c>
      <c r="C385" s="17" t="s">
        <v>68</v>
      </c>
      <c r="D385" s="17">
        <v>200</v>
      </c>
      <c r="E385" s="17">
        <v>0.23599999999999999</v>
      </c>
      <c r="F385" s="17">
        <v>0.193</v>
      </c>
      <c r="G385" s="17">
        <v>2</v>
      </c>
      <c r="H385" s="17">
        <v>0.19500000000000001</v>
      </c>
      <c r="I385" s="17">
        <v>2E-3</v>
      </c>
      <c r="J385" s="17">
        <v>0.8</v>
      </c>
    </row>
    <row r="386" spans="2:10" x14ac:dyDescent="0.25">
      <c r="B386" s="17"/>
      <c r="C386" s="17" t="s">
        <v>69</v>
      </c>
      <c r="D386" s="17">
        <v>200</v>
      </c>
      <c r="E386" s="17">
        <v>0.23799999999999999</v>
      </c>
      <c r="F386" s="17">
        <v>0.19600000000000001</v>
      </c>
      <c r="G386" s="17"/>
      <c r="H386" s="17"/>
      <c r="I386" s="17"/>
      <c r="J386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5252-72B9-4673-ADD8-4238B03E03CC}">
  <dimension ref="A1:AA1000"/>
  <sheetViews>
    <sheetView zoomScale="93" zoomScaleNormal="50" workbookViewId="0">
      <selection activeCell="F83" sqref="F83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Plate2_RawData_11_27!E190</f>
        <v>5.1999999999999998E-2</v>
      </c>
      <c r="C2" s="20">
        <f>AVERAGE(B2,B3)</f>
        <v>4.7500000000000001E-2</v>
      </c>
      <c r="D2" s="20">
        <f>100*(STDEV(B2,B3)/C2)</f>
        <v>13.397812696166165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-5.0000000000000044E-4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Plate2_RawData_11_27!E191</f>
        <v>4.2999999999999997E-2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1.4999999999999999E-2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Plate2_RawData_11_27!E274</f>
        <v>4.7E-2</v>
      </c>
      <c r="C4" s="20">
        <f>AVERAGE(B4,B5)</f>
        <v>4.7E-2</v>
      </c>
      <c r="D4" s="20">
        <f>100*(STDEV(B4,B5)/C4)</f>
        <v>0</v>
      </c>
      <c r="E4" s="19"/>
      <c r="F4" s="20">
        <f>C4-$C$2</f>
        <v>-5.0000000000000044E-4</v>
      </c>
      <c r="G4" s="19"/>
      <c r="H4" s="20">
        <v>0</v>
      </c>
      <c r="I4" s="19"/>
      <c r="J4" s="19"/>
      <c r="K4" s="21">
        <v>50</v>
      </c>
      <c r="L4" s="20">
        <f>F8</f>
        <v>4.7500000000000001E-2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Plate2_RawData_11_27!E275</f>
        <v>4.7E-2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9.799999999999999E-2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Plate2_RawData_11_27!E276</f>
        <v>5.6000000000000001E-2</v>
      </c>
      <c r="C6" s="20">
        <f>AVERAGE(B6,B7)</f>
        <v>6.25E-2</v>
      </c>
      <c r="D6" s="20">
        <f>100*(STDEV(B6,B7)/C6)</f>
        <v>14.707821048680298</v>
      </c>
      <c r="E6" s="19"/>
      <c r="F6" s="20">
        <f>C6-$C$2</f>
        <v>1.4999999999999999E-2</v>
      </c>
      <c r="G6" s="19"/>
      <c r="H6" s="20">
        <v>12.5</v>
      </c>
      <c r="I6" s="19"/>
      <c r="J6" s="19"/>
      <c r="K6" s="21">
        <v>150</v>
      </c>
      <c r="L6" s="20">
        <f>F12</f>
        <v>0.14400000000000002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Plate2_RawData_11_27!E277</f>
        <v>6.9000000000000006E-2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0.20450000000000002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Plate2_RawData_11_27!E278</f>
        <v>9.1999999999999998E-2</v>
      </c>
      <c r="C8" s="20">
        <f>AVERAGE(B8,B9)</f>
        <v>9.5000000000000001E-2</v>
      </c>
      <c r="D8" s="20">
        <f>100*(STDEV(B8,B9)/C8)</f>
        <v>4.4659375653887254</v>
      </c>
      <c r="E8" s="19"/>
      <c r="F8" s="20">
        <f>C8-$C$2</f>
        <v>4.7500000000000001E-2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Plate2_RawData_11_27!E279</f>
        <v>9.8000000000000004E-2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Plate2_RawData_11_27!E280</f>
        <v>0.14399999999999999</v>
      </c>
      <c r="C10" s="20">
        <f>AVERAGE(B10,B11)</f>
        <v>0.14549999999999999</v>
      </c>
      <c r="D10" s="20">
        <f>100*(STDEV(B10,B11)/C10)</f>
        <v>1.4579521261578314</v>
      </c>
      <c r="E10" s="19"/>
      <c r="F10" s="20">
        <f>C10-$C$2</f>
        <v>9.799999999999999E-2</v>
      </c>
      <c r="G10" s="19"/>
      <c r="H10" s="20">
        <v>100</v>
      </c>
      <c r="I10" s="19"/>
      <c r="J10" s="20"/>
      <c r="K10" s="18" t="s">
        <v>15</v>
      </c>
      <c r="L10" s="20">
        <v>8.0000000000000004E-4</v>
      </c>
      <c r="M10" s="20"/>
    </row>
    <row r="11" spans="1:26" ht="15.75" customHeight="1" x14ac:dyDescent="0.3">
      <c r="A11" s="20" t="s">
        <v>160</v>
      </c>
      <c r="B11" s="20">
        <f>Plate2_RawData_11_27!E281</f>
        <v>0.14699999999999999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>
        <v>8</v>
      </c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Plate2_RawData_11_27!E282</f>
        <v>0.182</v>
      </c>
      <c r="C12" s="20">
        <f>AVERAGE(B12,B13)</f>
        <v>0.1915</v>
      </c>
      <c r="D12" s="20">
        <f>100*(STDEV(B12,B13)/C12)</f>
        <v>7.0156808577255427</v>
      </c>
      <c r="E12" s="19"/>
      <c r="F12" s="20">
        <f>C12-$C$2</f>
        <v>0.14400000000000002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Plate2_RawData_11_27!E283</f>
        <v>0.20100000000000001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Plate2_RawData_11_27!E284</f>
        <v>0.24099999999999999</v>
      </c>
      <c r="C14" s="20">
        <f>AVERAGE(B14,B15)</f>
        <v>0.252</v>
      </c>
      <c r="D14" s="20">
        <f>100*(STDEV(B14,B15)/C14)</f>
        <v>6.1731544389301822</v>
      </c>
      <c r="E14" s="19"/>
      <c r="F14" s="20">
        <f>C14-$C$2</f>
        <v>0.20450000000000002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Plate2_RawData_11_27!E285</f>
        <v>0.26300000000000001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80" t="s">
        <v>11</v>
      </c>
      <c r="B20" s="80" t="s">
        <v>3</v>
      </c>
      <c r="C20" s="80" t="s">
        <v>4</v>
      </c>
      <c r="D20" s="80" t="s">
        <v>0</v>
      </c>
      <c r="E20" s="80" t="s">
        <v>5</v>
      </c>
      <c r="F20" s="80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81" t="s">
        <v>115</v>
      </c>
      <c r="B21" s="82">
        <f>Plate2_RawData_11_27!E293</f>
        <v>0.193</v>
      </c>
      <c r="C21" s="83">
        <f>AVERAGE(B21,B22)</f>
        <v>0.1885</v>
      </c>
      <c r="D21" s="83">
        <f>100*(STDEV(B21,B22)/C21)</f>
        <v>3.3761066475750305</v>
      </c>
      <c r="E21" s="83">
        <f>C21-$C$2</f>
        <v>0.14100000000000001</v>
      </c>
      <c r="F21" s="83">
        <f>(E21-$L$10)/$L$9</f>
        <v>140.20000000000002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83"/>
      <c r="B22" s="82">
        <f>Plate2_RawData_11_27!E294</f>
        <v>0.184</v>
      </c>
      <c r="C22" s="83"/>
      <c r="D22" s="83"/>
      <c r="E22" s="83"/>
      <c r="F22" s="83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84" t="s">
        <v>272</v>
      </c>
      <c r="B23" s="82">
        <f>Plate2_RawData_11_27!E295</f>
        <v>0.13800000000000001</v>
      </c>
      <c r="C23" s="83">
        <f>AVERAGE(B23,B24)</f>
        <v>0.14250000000000002</v>
      </c>
      <c r="D23" s="83">
        <f>100*(STDEV(B23,B24)/C23)</f>
        <v>4.4659375653887112</v>
      </c>
      <c r="E23" s="83">
        <f>C23-$C$2</f>
        <v>9.5000000000000015E-2</v>
      </c>
      <c r="F23" s="83">
        <f>(E23-$L$10)/$L$9</f>
        <v>94.200000000000017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84"/>
      <c r="B24" s="82">
        <f>Plate2_RawData_11_27!E296</f>
        <v>0.14699999999999999</v>
      </c>
      <c r="C24" s="83"/>
      <c r="D24" s="83"/>
      <c r="E24" s="83"/>
      <c r="F24" s="83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85" t="s">
        <v>307</v>
      </c>
      <c r="B25" s="82">
        <f>Plate2_RawData_11_27!E297</f>
        <v>8.6999999999999994E-2</v>
      </c>
      <c r="C25" s="82">
        <f>AVERAGE(B25,B26)</f>
        <v>8.8999999999999996E-2</v>
      </c>
      <c r="D25" s="82">
        <f>100*(STDEV(B25,B26)/C25)</f>
        <v>3.178008005332801</v>
      </c>
      <c r="E25" s="82">
        <f>C25-$C$2</f>
        <v>4.1499999999999995E-2</v>
      </c>
      <c r="F25" s="82">
        <f>(E25-$L$10)/$L$9</f>
        <v>40.699999999999996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85"/>
      <c r="B26" s="82">
        <f>Plate2_RawData_11_27!E298</f>
        <v>9.0999999999999998E-2</v>
      </c>
      <c r="C26" s="82"/>
      <c r="D26" s="82"/>
      <c r="E26" s="82"/>
      <c r="F26" s="82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86" t="s">
        <v>332</v>
      </c>
      <c r="B27" s="82">
        <f>Plate2_RawData_11_27!E299</f>
        <v>0.153</v>
      </c>
      <c r="C27" s="83">
        <f>AVERAGE(B27,B28)</f>
        <v>0.14550000000000002</v>
      </c>
      <c r="D27" s="82">
        <f>100*(STDEV(B27,B28)/C27)</f>
        <v>7.289760630789142</v>
      </c>
      <c r="E27" s="83">
        <f>C27-$C$2</f>
        <v>9.8000000000000018E-2</v>
      </c>
      <c r="F27" s="83">
        <f>(E27-$L$10)/$L$9</f>
        <v>97.200000000000017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86"/>
      <c r="B28" s="82">
        <f>Plate2_RawData_11_27!E300</f>
        <v>0.13800000000000001</v>
      </c>
      <c r="C28" s="83"/>
      <c r="D28" s="83"/>
      <c r="E28" s="83"/>
      <c r="F28" s="83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84" t="s">
        <v>308</v>
      </c>
      <c r="B29" s="82">
        <f>Plate2_RawData_11_27!E301</f>
        <v>0.105</v>
      </c>
      <c r="C29" s="82">
        <f>AVERAGE(B29,B30)</f>
        <v>0.104</v>
      </c>
      <c r="D29" s="82">
        <f>100*(STDEV(B29,B30)/C29)</f>
        <v>1.3598207330510541</v>
      </c>
      <c r="E29" s="83">
        <f>C29-$C$2</f>
        <v>5.6499999999999995E-2</v>
      </c>
      <c r="F29" s="83">
        <f>(E29-$L$10)/$L$9</f>
        <v>55.699999999999989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84"/>
      <c r="B30" s="82">
        <f>Plate2_RawData_11_27!E302</f>
        <v>0.10299999999999999</v>
      </c>
      <c r="C30" s="82"/>
      <c r="D30" s="82"/>
      <c r="E30" s="82"/>
      <c r="F30" s="82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84" t="s">
        <v>309</v>
      </c>
      <c r="B31" s="82">
        <f>Plate2_RawData_11_27!E303</f>
        <v>0.115</v>
      </c>
      <c r="C31" s="83">
        <f>AVERAGE(B31,B32)</f>
        <v>0.1145</v>
      </c>
      <c r="D31" s="83">
        <f>100*(STDEV(B31,B32)/C31)</f>
        <v>0.61756050758650494</v>
      </c>
      <c r="E31" s="83">
        <f>C31-$C$2</f>
        <v>6.7000000000000004E-2</v>
      </c>
      <c r="F31" s="83">
        <f>(E31-$L$10)/$L$9</f>
        <v>66.2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84"/>
      <c r="B32" s="82">
        <f>Plate2_RawData_11_27!E304</f>
        <v>0.114</v>
      </c>
      <c r="C32" s="83"/>
      <c r="D32" s="83"/>
      <c r="E32" s="83"/>
      <c r="F32" s="83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85" t="s">
        <v>310</v>
      </c>
      <c r="B33" s="82">
        <f>Plate2_RawData_11_27!E305</f>
        <v>0.154</v>
      </c>
      <c r="C33" s="83">
        <f>AVERAGE(B33,B34)</f>
        <v>0.156</v>
      </c>
      <c r="D33" s="82">
        <f>100*(STDEV(B33,B34)/C33)</f>
        <v>1.8130943107347388</v>
      </c>
      <c r="E33" s="83">
        <f>C33-$C$2</f>
        <v>0.1085</v>
      </c>
      <c r="F33" s="83">
        <f>(E33-$L$10)/$L$9</f>
        <v>107.7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85"/>
      <c r="B34" s="82">
        <f>Plate2_RawData_11_27!E306</f>
        <v>0.158</v>
      </c>
      <c r="C34" s="83"/>
      <c r="D34" s="83"/>
      <c r="E34" s="83"/>
      <c r="F34" s="83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85" t="s">
        <v>311</v>
      </c>
      <c r="B35" s="82">
        <f>Plate2_RawData_11_27!E307</f>
        <v>8.3000000000000004E-2</v>
      </c>
      <c r="C35" s="82">
        <f>AVERAGE(B35,B36)</f>
        <v>0.11150000000000002</v>
      </c>
      <c r="D35" s="82">
        <f>100*(STDEV(B35,B36)/C35)</f>
        <v>36.148059666038719</v>
      </c>
      <c r="E35" s="82">
        <f>C35-$C$2</f>
        <v>6.4000000000000015E-2</v>
      </c>
      <c r="F35" s="82">
        <f>(E35-$L$10)/$L$9</f>
        <v>63.200000000000017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85"/>
      <c r="B36" s="82">
        <f>Plate2_RawData_11_27!E308</f>
        <v>0.14000000000000001</v>
      </c>
      <c r="C36" s="82"/>
      <c r="D36" s="82"/>
      <c r="E36" s="82"/>
      <c r="F36" s="82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85" t="s">
        <v>312</v>
      </c>
      <c r="B37" s="82">
        <f>Plate2_RawData_11_27!E309</f>
        <v>0.23100000000000001</v>
      </c>
      <c r="C37" s="83">
        <f>AVERAGE(B37,B38)</f>
        <v>0.22750000000000001</v>
      </c>
      <c r="D37" s="82">
        <f>100*(STDEV(B37,B38)/C37)</f>
        <v>2.1757131728816863</v>
      </c>
      <c r="E37" s="83">
        <f>C37-$C$2</f>
        <v>0.18</v>
      </c>
      <c r="F37" s="83">
        <f>(E37-$L$10)/$L$9</f>
        <v>179.2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85"/>
      <c r="B38" s="82">
        <f>Plate2_RawData_11_27!E310</f>
        <v>0.224</v>
      </c>
      <c r="C38" s="83"/>
      <c r="D38" s="83"/>
      <c r="E38" s="83"/>
      <c r="F38" s="83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84" t="s">
        <v>313</v>
      </c>
      <c r="B39" s="82">
        <f>Plate2_RawData_11_27!E311</f>
        <v>8.6999999999999994E-2</v>
      </c>
      <c r="C39" s="82">
        <f>AVERAGE(B39,B40)</f>
        <v>8.6999999999999994E-2</v>
      </c>
      <c r="D39" s="82">
        <f>100*(STDEV(B39,B40)/C39)</f>
        <v>0</v>
      </c>
      <c r="E39" s="83">
        <f>C39-$C$2</f>
        <v>3.9499999999999993E-2</v>
      </c>
      <c r="F39" s="83">
        <f>(E39-$L$10)/$L$9</f>
        <v>38.699999999999989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84"/>
      <c r="B40" s="82">
        <f>Plate2_RawData_11_27!E312</f>
        <v>8.6999999999999994E-2</v>
      </c>
      <c r="C40" s="82"/>
      <c r="D40" s="82"/>
      <c r="E40" s="82"/>
      <c r="F40" s="82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85" t="s">
        <v>273</v>
      </c>
      <c r="B41" s="82">
        <f>Plate2_RawData_11_27!E313</f>
        <v>0.14799999999999999</v>
      </c>
      <c r="C41" s="83">
        <f>AVERAGE(B41,B42)</f>
        <v>0.16749999999999998</v>
      </c>
      <c r="D41" s="83">
        <f>100*(STDEV(B41,B42)/C41)</f>
        <v>16.46397878583608</v>
      </c>
      <c r="E41" s="83">
        <f>C41-$C$2</f>
        <v>0.11999999999999998</v>
      </c>
      <c r="F41" s="83">
        <f>(E41-$L$10)/$L$9</f>
        <v>119.19999999999999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85"/>
      <c r="B42" s="82">
        <f>Plate2_RawData_11_27!E314</f>
        <v>0.187</v>
      </c>
      <c r="C42" s="83"/>
      <c r="D42" s="83"/>
      <c r="E42" s="83"/>
      <c r="F42" s="83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84" t="s">
        <v>164</v>
      </c>
      <c r="B43" s="82">
        <f>Plate2_RawData_11_27!E315</f>
        <v>0.155</v>
      </c>
      <c r="C43" s="83">
        <f>AVERAGE(B43,B44)</f>
        <v>0.16899999999999998</v>
      </c>
      <c r="D43" s="83">
        <f>100*(STDEV(B43,B44)/C43)</f>
        <v>11.71537862320907</v>
      </c>
      <c r="E43" s="83">
        <f>C43-$C$2</f>
        <v>0.12149999999999998</v>
      </c>
      <c r="F43" s="83">
        <f>(E43-$L$10)/$L$9</f>
        <v>120.69999999999999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84"/>
      <c r="B44" s="82">
        <f>Plate2_RawData_11_27!E316</f>
        <v>0.183</v>
      </c>
      <c r="C44" s="83"/>
      <c r="D44" s="83"/>
      <c r="E44" s="83"/>
      <c r="F44" s="83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84" t="s">
        <v>314</v>
      </c>
      <c r="B45" s="82">
        <f>Plate2_RawData_11_27!E317</f>
        <v>9.1999999999999998E-2</v>
      </c>
      <c r="C45" s="82">
        <f>AVERAGE(B45,B46)</f>
        <v>9.2999999999999999E-2</v>
      </c>
      <c r="D45" s="82">
        <f>100*(STDEV(B45,B46)/C45)</f>
        <v>1.5206597444872005</v>
      </c>
      <c r="E45" s="82">
        <f>C45-$C$2</f>
        <v>4.5499999999999999E-2</v>
      </c>
      <c r="F45" s="82">
        <f>(E45-$L$10)/$L$9</f>
        <v>44.699999999999996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84"/>
      <c r="B46" s="82">
        <f>Plate2_RawData_11_27!E318</f>
        <v>9.4E-2</v>
      </c>
      <c r="C46" s="82"/>
      <c r="D46" s="82"/>
      <c r="E46" s="82"/>
      <c r="F46" s="82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84" t="s">
        <v>315</v>
      </c>
      <c r="B47" s="82">
        <f>Plate2_RawData_11_27!E319</f>
        <v>0.19400000000000001</v>
      </c>
      <c r="C47" s="83">
        <f>AVERAGE(B47,B48)</f>
        <v>0.20750000000000002</v>
      </c>
      <c r="D47" s="82">
        <f>100*(STDEV(B47,B48)/C47)</f>
        <v>9.2009075142345917</v>
      </c>
      <c r="E47" s="83">
        <f>C47-$C$2</f>
        <v>0.16000000000000003</v>
      </c>
      <c r="F47" s="83">
        <f>(E47-$L$10)/$L$9</f>
        <v>159.20000000000005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84"/>
      <c r="B48" s="82">
        <f>Plate2_RawData_11_27!E320</f>
        <v>0.221</v>
      </c>
      <c r="C48" s="83"/>
      <c r="D48" s="83"/>
      <c r="E48" s="83"/>
      <c r="F48" s="83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85" t="s">
        <v>316</v>
      </c>
      <c r="B49" s="82">
        <f>Plate2_RawData_11_27!E321</f>
        <v>0.10299999999999999</v>
      </c>
      <c r="C49" s="82">
        <f>AVERAGE(B49,B50)</f>
        <v>0.1045</v>
      </c>
      <c r="D49" s="82">
        <f>100*(STDEV(B49,B50)/C49)</f>
        <v>2.029971620631239</v>
      </c>
      <c r="E49" s="83">
        <f>C49-$C$2</f>
        <v>5.6999999999999995E-2</v>
      </c>
      <c r="F49" s="83">
        <f>(E49-$L$10)/$L$9</f>
        <v>56.199999999999989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85"/>
      <c r="B50" s="82">
        <f>Plate2_RawData_11_27!E322</f>
        <v>0.106</v>
      </c>
      <c r="C50" s="82"/>
      <c r="D50" s="82"/>
      <c r="E50" s="82"/>
      <c r="F50" s="82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84" t="s">
        <v>317</v>
      </c>
      <c r="B51" s="82">
        <f>Plate2_RawData_11_27!E323</f>
        <v>9.6000000000000002E-2</v>
      </c>
      <c r="C51" s="83">
        <f>AVERAGE(B51,B52)</f>
        <v>9.8500000000000004E-2</v>
      </c>
      <c r="D51" s="83">
        <f>100*(STDEV(B51,B52)/C51)</f>
        <v>3.5893745237895844</v>
      </c>
      <c r="E51" s="83">
        <f>C51-$C$2</f>
        <v>5.1000000000000004E-2</v>
      </c>
      <c r="F51" s="83">
        <f>(E51-$L$10)/$L$9</f>
        <v>50.2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84"/>
      <c r="B52" s="82">
        <f>Plate2_RawData_11_27!E324</f>
        <v>0.10100000000000001</v>
      </c>
      <c r="C52" s="83"/>
      <c r="D52" s="83"/>
      <c r="E52" s="83"/>
      <c r="F52" s="83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85" t="s">
        <v>318</v>
      </c>
      <c r="B53" s="82">
        <f>Plate2_RawData_11_27!E325</f>
        <v>9.2999999999999999E-2</v>
      </c>
      <c r="C53" s="83">
        <f>AVERAGE(B53,B54)</f>
        <v>9.2999999999999999E-2</v>
      </c>
      <c r="D53" s="83">
        <f>100*(STDEV(B53,B54)/C53)</f>
        <v>0</v>
      </c>
      <c r="E53" s="83">
        <f>C53-$C$2</f>
        <v>4.5499999999999999E-2</v>
      </c>
      <c r="F53" s="83">
        <f>(E53-$L$10)/$L$9</f>
        <v>44.699999999999996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85"/>
      <c r="B54" s="82">
        <f>Plate2_RawData_11_27!E326</f>
        <v>9.2999999999999999E-2</v>
      </c>
      <c r="C54" s="83"/>
      <c r="D54" s="83"/>
      <c r="E54" s="83"/>
      <c r="F54" s="83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85" t="s">
        <v>319</v>
      </c>
      <c r="B55" s="82">
        <f>Plate2_RawData_11_27!E327</f>
        <v>0.13200000000000001</v>
      </c>
      <c r="C55" s="82">
        <f>AVERAGE(B55,B56)</f>
        <v>0.13600000000000001</v>
      </c>
      <c r="D55" s="82">
        <f>100*(STDEV(B55,B56)/C55)</f>
        <v>4.1594516540385182</v>
      </c>
      <c r="E55" s="82">
        <f>C55-$C$2</f>
        <v>8.8500000000000009E-2</v>
      </c>
      <c r="F55" s="82">
        <f>(E55-$L$10)/$L$9</f>
        <v>87.700000000000017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85"/>
      <c r="B56" s="82">
        <f>Plate2_RawData_11_27!E328</f>
        <v>0.14000000000000001</v>
      </c>
      <c r="C56" s="82"/>
      <c r="D56" s="82"/>
      <c r="E56" s="82"/>
      <c r="F56" s="82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84" t="s">
        <v>282</v>
      </c>
      <c r="B57" s="82">
        <f>Plate2_RawData_11_27!E329</f>
        <v>0.221</v>
      </c>
      <c r="C57" s="83">
        <f>AVERAGE(B57,B58)</f>
        <v>0.2225</v>
      </c>
      <c r="D57" s="87">
        <f>100*(STDEV(B57,B58)/C57)</f>
        <v>0.95340240159984024</v>
      </c>
      <c r="E57" s="83">
        <f>C57-$C$2</f>
        <v>0.17499999999999999</v>
      </c>
      <c r="F57" s="83">
        <f>(E57-$L$10)/$L$9</f>
        <v>174.2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84"/>
      <c r="B58" s="82">
        <f>Plate2_RawData_11_27!E330</f>
        <v>0.224</v>
      </c>
      <c r="C58" s="83"/>
      <c r="D58" s="83"/>
      <c r="E58" s="83"/>
      <c r="F58" s="83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84" t="s">
        <v>320</v>
      </c>
      <c r="B59" s="82">
        <f>Plate2_RawData_11_27!E331</f>
        <v>6.0999999999999999E-2</v>
      </c>
      <c r="C59" s="82">
        <f>AVERAGE(B59,B60)</f>
        <v>6.2E-2</v>
      </c>
      <c r="D59" s="82">
        <f>100*(STDEV(B59,B60)/C59)</f>
        <v>2.2809896167308006</v>
      </c>
      <c r="E59" s="83">
        <f>C59-$C$2</f>
        <v>1.4499999999999999E-2</v>
      </c>
      <c r="F59" s="83">
        <f>(E59-$L$10)/$L$9</f>
        <v>13.699999999999998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84"/>
      <c r="B60" s="82">
        <f>Plate2_RawData_11_27!E332</f>
        <v>6.3E-2</v>
      </c>
      <c r="C60" s="82"/>
      <c r="D60" s="82"/>
      <c r="E60" s="82"/>
      <c r="F60" s="82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84" t="s">
        <v>167</v>
      </c>
      <c r="B61" s="82">
        <f>Plate2_RawData_11_27!E333</f>
        <v>8.8999999999999996E-2</v>
      </c>
      <c r="C61" s="83">
        <f>AVERAGE(B61,B62)</f>
        <v>0.09</v>
      </c>
      <c r="D61" s="83">
        <f>100*(STDEV(B61,B62)/C61)</f>
        <v>1.5713484026367737</v>
      </c>
      <c r="E61" s="83">
        <f>C61-$C$2</f>
        <v>4.2499999999999996E-2</v>
      </c>
      <c r="F61" s="83">
        <f>(E61-$L$10)/$L$9</f>
        <v>41.699999999999996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84"/>
      <c r="B62" s="82">
        <f>Plate2_RawData_11_27!E334</f>
        <v>9.0999999999999998E-2</v>
      </c>
      <c r="C62" s="83"/>
      <c r="D62" s="83"/>
      <c r="E62" s="83"/>
      <c r="F62" s="83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84" t="s">
        <v>283</v>
      </c>
      <c r="B63" s="82">
        <f>Plate2_RawData_11_27!E335</f>
        <v>8.7999999999999995E-2</v>
      </c>
      <c r="C63" s="83">
        <f>AVERAGE(B63,B64)</f>
        <v>8.5499999999999993E-2</v>
      </c>
      <c r="D63" s="83">
        <f>100*(STDEV(B63,B64)/C63)</f>
        <v>4.1351273753599198</v>
      </c>
      <c r="E63" s="83">
        <f>C63-$C$2</f>
        <v>3.7999999999999992E-2</v>
      </c>
      <c r="F63" s="83">
        <f>(E63-$L$10)/$L$9</f>
        <v>37.199999999999989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84"/>
      <c r="B64" s="82">
        <f>Plate2_RawData_11_27!E336</f>
        <v>8.3000000000000004E-2</v>
      </c>
      <c r="C64" s="83"/>
      <c r="D64" s="83"/>
      <c r="E64" s="83"/>
      <c r="F64" s="83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84" t="s">
        <v>323</v>
      </c>
      <c r="B65" s="82">
        <f>Plate2_RawData_11_27!E337</f>
        <v>0.14499999999999999</v>
      </c>
      <c r="C65" s="82">
        <f>AVERAGE(B65,B66)</f>
        <v>0.13850000000000001</v>
      </c>
      <c r="D65" s="82">
        <f>100*(STDEV(B65,B66)/C65)</f>
        <v>6.6371033613177657</v>
      </c>
      <c r="E65" s="82">
        <f>C65-$C$2</f>
        <v>9.1000000000000011E-2</v>
      </c>
      <c r="F65" s="82">
        <f>(E65-$L$10)/$L$9</f>
        <v>90.200000000000017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85"/>
      <c r="B66" s="82">
        <f>Plate2_RawData_11_27!E338</f>
        <v>0.13200000000000001</v>
      </c>
      <c r="C66" s="82"/>
      <c r="D66" s="82"/>
      <c r="E66" s="82"/>
      <c r="F66" s="82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85" t="s">
        <v>169</v>
      </c>
      <c r="B67" s="82">
        <f>Plate2_RawData_11_27!E339</f>
        <v>0.123</v>
      </c>
      <c r="C67" s="83">
        <f>AVERAGE(B67,B68)</f>
        <v>0.13</v>
      </c>
      <c r="D67" s="82">
        <f>100*(STDEV(B67,B68)/C67)</f>
        <v>7.6149961050859023</v>
      </c>
      <c r="E67" s="83">
        <f>C67-$C$2</f>
        <v>8.2500000000000004E-2</v>
      </c>
      <c r="F67" s="83">
        <f>(E67-$L$10)/$L$9</f>
        <v>81.7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85"/>
      <c r="B68" s="82">
        <f>Plate2_RawData_11_27!E340</f>
        <v>0.13700000000000001</v>
      </c>
      <c r="C68" s="83"/>
      <c r="D68" s="83"/>
      <c r="E68" s="83"/>
      <c r="F68" s="83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85" t="s">
        <v>324</v>
      </c>
      <c r="B69" s="82">
        <f>Plate2_RawData_11_27!E341</f>
        <v>6.5000000000000002E-2</v>
      </c>
      <c r="C69" s="82">
        <f>AVERAGE(B69,B70)</f>
        <v>6.4000000000000001E-2</v>
      </c>
      <c r="D69" s="82">
        <f>100*(STDEV(B69,B70)/C69)</f>
        <v>2.2097086912079629</v>
      </c>
      <c r="E69" s="83">
        <f>C69-$C$2</f>
        <v>1.6500000000000001E-2</v>
      </c>
      <c r="F69" s="83">
        <f>(E69-$L$10)/$L$9</f>
        <v>15.700000000000001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84"/>
      <c r="B70" s="82">
        <f>Plate2_RawData_11_27!E342</f>
        <v>6.3E-2</v>
      </c>
      <c r="C70" s="82"/>
      <c r="D70" s="82"/>
      <c r="E70" s="82"/>
      <c r="F70" s="82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85" t="s">
        <v>325</v>
      </c>
      <c r="B71" s="82">
        <f>Plate2_RawData_11_27!E343</f>
        <v>9.4E-2</v>
      </c>
      <c r="C71" s="83">
        <f>AVERAGE(B71,B72)</f>
        <v>9.35E-2</v>
      </c>
      <c r="D71" s="83">
        <f>100*(STDEV(B71,B72)/C71)</f>
        <v>0.7562639370979124</v>
      </c>
      <c r="E71" s="83">
        <f>C71-$C$2</f>
        <v>4.5999999999999999E-2</v>
      </c>
      <c r="F71" s="83">
        <f>(E71-$L$10)/$L$9</f>
        <v>45.199999999999996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85"/>
      <c r="B72" s="82">
        <f>Plate2_RawData_11_27!E344</f>
        <v>9.2999999999999999E-2</v>
      </c>
      <c r="C72" s="83"/>
      <c r="D72" s="83"/>
      <c r="E72" s="83"/>
      <c r="F72" s="83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84" t="s">
        <v>326</v>
      </c>
      <c r="B73" s="82">
        <f>Plate2_RawData_11_27!E345</f>
        <v>6.3E-2</v>
      </c>
      <c r="C73" s="83">
        <f>AVERAGE(B73,B74)</f>
        <v>6.4500000000000002E-2</v>
      </c>
      <c r="D73" s="83">
        <f>100*(STDEV(B73,B74)/C73)</f>
        <v>3.288868749704875</v>
      </c>
      <c r="E73" s="83">
        <f>C73-$C$2</f>
        <v>1.7000000000000001E-2</v>
      </c>
      <c r="F73" s="83">
        <f>(E73-$L$10)/$L$9</f>
        <v>16.200000000000003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84"/>
      <c r="B74" s="82">
        <f>Plate2_RawData_11_27!E346</f>
        <v>6.6000000000000003E-2</v>
      </c>
      <c r="C74" s="83"/>
      <c r="D74" s="83"/>
      <c r="E74" s="83"/>
      <c r="F74" s="83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84" t="s">
        <v>162</v>
      </c>
      <c r="B75" s="82">
        <f>Plate2_RawData_11_27!E347</f>
        <v>0.17499999999999999</v>
      </c>
      <c r="C75" s="82">
        <f>AVERAGE(B75,B76)</f>
        <v>0.187</v>
      </c>
      <c r="D75" s="82">
        <f>100*(STDEV(B75,B76)/C75)</f>
        <v>9.075167245174951</v>
      </c>
      <c r="E75" s="82">
        <f>C75-$C$2</f>
        <v>0.13950000000000001</v>
      </c>
      <c r="F75" s="82">
        <f>(E75-$L$10)/$L$9</f>
        <v>138.70000000000002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84"/>
      <c r="B76" s="82">
        <f>Plate2_RawData_11_27!E348</f>
        <v>0.19900000000000001</v>
      </c>
      <c r="C76" s="82"/>
      <c r="D76" s="82"/>
      <c r="E76" s="82"/>
      <c r="F76" s="82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85" t="s">
        <v>327</v>
      </c>
      <c r="B77" s="82">
        <f>Plate2_RawData_11_27!E349</f>
        <v>9.7000000000000003E-2</v>
      </c>
      <c r="C77" s="83">
        <f>AVERAGE(B77,B78)</f>
        <v>9.7500000000000003E-2</v>
      </c>
      <c r="D77" s="82">
        <f>100*(STDEV(B77,B78)/C77)</f>
        <v>0.72523772429389555</v>
      </c>
      <c r="E77" s="83">
        <f>C77-$C$2</f>
        <v>0.05</v>
      </c>
      <c r="F77" s="83">
        <f>(E77-$L$10)/$L$9</f>
        <v>49.2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85"/>
      <c r="B78" s="82">
        <f>Plate2_RawData_11_27!E350</f>
        <v>9.8000000000000004E-2</v>
      </c>
      <c r="C78" s="83"/>
      <c r="D78" s="83"/>
      <c r="E78" s="83"/>
      <c r="F78" s="83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85" t="s">
        <v>328</v>
      </c>
      <c r="B79" s="82">
        <f>Plate2_RawData_11_27!E351</f>
        <v>0.105</v>
      </c>
      <c r="C79" s="82">
        <f>AVERAGE(B79,B80)</f>
        <v>9.6000000000000002E-2</v>
      </c>
      <c r="D79" s="87">
        <f>100*(STDEV(B79,B80)/C79)</f>
        <v>13.258252147247768</v>
      </c>
      <c r="E79" s="83">
        <f>C79-$C$2</f>
        <v>4.8500000000000001E-2</v>
      </c>
      <c r="F79" s="83">
        <f>(E79-$L$10)/$L$9</f>
        <v>47.699999999999996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85"/>
      <c r="B80" s="82">
        <f>Plate2_RawData_11_27!E352</f>
        <v>8.6999999999999994E-2</v>
      </c>
      <c r="C80" s="82"/>
      <c r="D80" s="82"/>
      <c r="E80" s="82"/>
      <c r="F80" s="82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85" t="s">
        <v>290</v>
      </c>
      <c r="B81" s="82">
        <f>Plate2_RawData_11_27!E353</f>
        <v>0.14899999999999999</v>
      </c>
      <c r="C81" s="83">
        <f>AVERAGE(B81,B82)</f>
        <v>0.15049999999999999</v>
      </c>
      <c r="D81" s="83">
        <f>100*(STDEV(B81,B82)/C81)</f>
        <v>1.4095151784449467</v>
      </c>
      <c r="E81" s="83">
        <f>C81-$C$2</f>
        <v>0.10299999999999999</v>
      </c>
      <c r="F81" s="83">
        <f>(E81-$L$10)/$L$9</f>
        <v>102.2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85"/>
      <c r="B82" s="82">
        <f>Plate2_RawData_11_27!E354</f>
        <v>0.152</v>
      </c>
      <c r="C82" s="83"/>
      <c r="D82" s="83"/>
      <c r="E82" s="83"/>
      <c r="F82" s="83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84" t="s">
        <v>330</v>
      </c>
      <c r="B83" s="82">
        <f>Plate2_RawData_11_27!E355</f>
        <v>0.25</v>
      </c>
      <c r="C83" s="83">
        <f>AVERAGE(B83,B84)</f>
        <v>0.24199999999999999</v>
      </c>
      <c r="D83" s="82">
        <f>100*(STDEV(B83,B84)/C83)</f>
        <v>4.6750861566052695</v>
      </c>
      <c r="E83" s="83">
        <f>C83-$C$2</f>
        <v>0.19450000000000001</v>
      </c>
      <c r="F83" s="83">
        <f>(E83-$L$10)/$L$9</f>
        <v>193.70000000000002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84"/>
      <c r="B84" s="82">
        <f>Plate2_RawData_11_27!E356</f>
        <v>0.23400000000000001</v>
      </c>
      <c r="C84" s="83"/>
      <c r="D84" s="83"/>
      <c r="E84" s="83"/>
      <c r="F84" s="83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85" t="s">
        <v>331</v>
      </c>
      <c r="B85" s="82">
        <f>Plate2_RawData_11_27!E357</f>
        <v>0.11799999999999999</v>
      </c>
      <c r="C85" s="82">
        <f>AVERAGE(B85,B86)</f>
        <v>0.1285</v>
      </c>
      <c r="D85" s="87">
        <f>100*(STDEV(B85,B86)/C85)</f>
        <v>11.555830665305455</v>
      </c>
      <c r="E85" s="82">
        <f>C85-$C$2</f>
        <v>8.1000000000000003E-2</v>
      </c>
      <c r="F85" s="82">
        <f>(E85-$L$10)/$L$9</f>
        <v>80.2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85"/>
      <c r="B86" s="82">
        <f>Plate2_RawData_11_27!E358</f>
        <v>0.13900000000000001</v>
      </c>
      <c r="C86" s="82"/>
      <c r="D86" s="82"/>
      <c r="E86" s="82"/>
      <c r="F86" s="82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85" t="s">
        <v>322</v>
      </c>
      <c r="B87" s="82">
        <f>Plate2_RawData_11_27!E359</f>
        <v>8.4000000000000005E-2</v>
      </c>
      <c r="C87" s="83">
        <f>AVERAGE(B87,B88)</f>
        <v>8.7499999999999994E-2</v>
      </c>
      <c r="D87" s="82">
        <f>100*(STDEV(B87,B88)/C87)</f>
        <v>5.6568542494923744</v>
      </c>
      <c r="E87" s="83">
        <f>C87-$C$2</f>
        <v>3.9999999999999994E-2</v>
      </c>
      <c r="F87" s="83">
        <f>(E87-$L$10)/$L$9</f>
        <v>39.199999999999989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85"/>
      <c r="B88" s="82">
        <f>Plate2_RawData_11_27!E360</f>
        <v>9.0999999999999998E-2</v>
      </c>
      <c r="C88" s="83"/>
      <c r="D88" s="83"/>
      <c r="E88" s="83"/>
      <c r="F88" s="83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84" t="s">
        <v>297</v>
      </c>
      <c r="B89" s="82">
        <f>Plate2_RawData_11_27!E361</f>
        <v>0.14799999999999999</v>
      </c>
      <c r="C89" s="82">
        <f>AVERAGE(B89,B90)</f>
        <v>0.1545</v>
      </c>
      <c r="D89" s="82">
        <f>100*(STDEV(B89,B90)/C89)</f>
        <v>5.9497657963916675</v>
      </c>
      <c r="E89" s="83">
        <f>C89-$C$2</f>
        <v>0.107</v>
      </c>
      <c r="F89" s="83">
        <f>(E89-$L$10)/$L$9</f>
        <v>106.2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84"/>
      <c r="B90" s="82">
        <f>Plate2_RawData_11_27!E362</f>
        <v>0.161</v>
      </c>
      <c r="C90" s="82"/>
      <c r="D90" s="82"/>
      <c r="E90" s="82"/>
      <c r="F90" s="82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88" t="s">
        <v>313</v>
      </c>
      <c r="B91" s="82">
        <f>Plate2_RawData_11_27!E363</f>
        <v>0.17599999999999999</v>
      </c>
      <c r="C91" s="83">
        <f>AVERAGE(B91,B92)</f>
        <v>0.188</v>
      </c>
      <c r="D91" s="83">
        <f>100*(STDEV(B91,B92)/C91)</f>
        <v>9.0268950789772102</v>
      </c>
      <c r="E91" s="83">
        <f>C91-$C$2</f>
        <v>0.14050000000000001</v>
      </c>
      <c r="F91" s="83">
        <f>(E91-$L$10)/$L$9</f>
        <v>139.70000000000002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88"/>
      <c r="B92" s="82">
        <f>Plate2_RawData_11_27!E364</f>
        <v>0.2</v>
      </c>
      <c r="C92" s="83"/>
      <c r="D92" s="83"/>
      <c r="E92" s="83"/>
      <c r="F92" s="83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85" t="s">
        <v>321</v>
      </c>
      <c r="B93" s="82">
        <f>Plate2_RawData_11_27!E365</f>
        <v>0.14499999999999999</v>
      </c>
      <c r="C93" s="83">
        <f>AVERAGE(B93,B94)</f>
        <v>0.1535</v>
      </c>
      <c r="D93" s="83">
        <f>100*(STDEV(B93,B94)/C93)</f>
        <v>7.8311500196555821</v>
      </c>
      <c r="E93" s="83">
        <f>C93-$C$2</f>
        <v>0.106</v>
      </c>
      <c r="F93" s="83">
        <f>(E93-$L$10)/$L$9</f>
        <v>105.2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84"/>
      <c r="B94" s="82">
        <f>Plate2_RawData_11_27!E366</f>
        <v>0.16200000000000001</v>
      </c>
      <c r="C94" s="83"/>
      <c r="D94" s="83"/>
      <c r="E94" s="83"/>
      <c r="F94" s="83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86" t="s">
        <v>334</v>
      </c>
      <c r="B95" s="82">
        <f>Plate2_RawData_11_27!E367</f>
        <v>8.6999999999999994E-2</v>
      </c>
      <c r="C95" s="82">
        <f>AVERAGE(B95,B96)</f>
        <v>9.1499999999999998E-2</v>
      </c>
      <c r="D95" s="82">
        <f>100*(STDEV(B95,B96)/C95)</f>
        <v>6.95514866740867</v>
      </c>
      <c r="E95" s="82">
        <f>C95-$C$2</f>
        <v>4.3999999999999997E-2</v>
      </c>
      <c r="F95" s="82">
        <f>(E95-$L$10)/$L$9</f>
        <v>43.199999999999996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86"/>
      <c r="B96" s="82">
        <f>Plate2_RawData_11_27!E368</f>
        <v>9.6000000000000002E-2</v>
      </c>
      <c r="C96" s="82"/>
      <c r="D96" s="82"/>
      <c r="E96" s="82"/>
      <c r="F96" s="82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84" t="s">
        <v>335</v>
      </c>
      <c r="B97" s="82">
        <f>Plate2_RawData_11_27!E369</f>
        <v>0.158</v>
      </c>
      <c r="C97" s="83">
        <f>AVERAGE(B97,B98)</f>
        <v>0.159</v>
      </c>
      <c r="D97" s="82">
        <f>100*(STDEV(B97,B98)/C97)</f>
        <v>0.88944249205855119</v>
      </c>
      <c r="E97" s="83">
        <f>C97-$C$2</f>
        <v>0.1115</v>
      </c>
      <c r="F97" s="83">
        <f>(E97-$L$10)/$L$9</f>
        <v>110.7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84"/>
      <c r="B98" s="82">
        <f>Plate2_RawData_11_27!E370</f>
        <v>0.16</v>
      </c>
      <c r="C98" s="83"/>
      <c r="D98" s="83"/>
      <c r="E98" s="83"/>
      <c r="F98" s="83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85" t="s">
        <v>336</v>
      </c>
      <c r="B99" s="82">
        <f>Plate2_RawData_11_27!E371</f>
        <v>0.06</v>
      </c>
      <c r="C99" s="82">
        <f>AVERAGE(B99,B100)</f>
        <v>5.9499999999999997E-2</v>
      </c>
      <c r="D99" s="82">
        <f>100*(STDEV(B99,B100)/C99)</f>
        <v>1.1884147582967197</v>
      </c>
      <c r="E99" s="83">
        <f>C99-$C$2</f>
        <v>1.1999999999999997E-2</v>
      </c>
      <c r="F99" s="83">
        <f>(E99-$L$10)/$L$9</f>
        <v>11.199999999999996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85"/>
      <c r="B100" s="82">
        <f>Plate2_RawData_11_27!E372</f>
        <v>5.8999999999999997E-2</v>
      </c>
      <c r="C100" s="82"/>
      <c r="D100" s="82"/>
      <c r="E100" s="82"/>
      <c r="F100" s="82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86" t="s">
        <v>329</v>
      </c>
      <c r="B101" s="82">
        <f>Plate2_RawData_11_27!E373</f>
        <v>0.13400000000000001</v>
      </c>
      <c r="C101" s="83">
        <f>AVERAGE(B101,B102)</f>
        <v>0.1275</v>
      </c>
      <c r="D101" s="83">
        <f>100*(STDEV(B101,B102)/C101)</f>
        <v>7.2097162003334327</v>
      </c>
      <c r="E101" s="83">
        <f>C101-$C$2</f>
        <v>0.08</v>
      </c>
      <c r="F101" s="83">
        <f>(E101-$L$10)/$L$9</f>
        <v>79.2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86"/>
      <c r="B102" s="82">
        <f>Plate2_RawData_11_27!E374</f>
        <v>0.121</v>
      </c>
      <c r="C102" s="83"/>
      <c r="D102" s="83"/>
      <c r="E102" s="83"/>
      <c r="F102" s="83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98F3-5BD0-4933-A4AA-6A74024B8165}">
  <dimension ref="A2:O386"/>
  <sheetViews>
    <sheetView topLeftCell="A175" workbookViewId="0">
      <selection activeCell="E190" sqref="E190"/>
    </sheetView>
  </sheetViews>
  <sheetFormatPr defaultRowHeight="13.2" x14ac:dyDescent="0.25"/>
  <cols>
    <col min="1" max="1" width="18.59765625" style="60" customWidth="1"/>
    <col min="2" max="2" width="11.3984375" style="60" customWidth="1"/>
    <col min="3" max="16384" width="8.796875" style="60"/>
  </cols>
  <sheetData>
    <row r="2" spans="1:2" x14ac:dyDescent="0.25">
      <c r="A2" s="60" t="s">
        <v>16</v>
      </c>
      <c r="B2" s="60" t="s">
        <v>17</v>
      </c>
    </row>
    <row r="4" spans="1:2" x14ac:dyDescent="0.25">
      <c r="A4" s="60" t="s">
        <v>18</v>
      </c>
      <c r="B4" s="60" t="s">
        <v>304</v>
      </c>
    </row>
    <row r="5" spans="1:2" x14ac:dyDescent="0.25">
      <c r="A5" s="60" t="s">
        <v>19</v>
      </c>
      <c r="B5" s="60" t="s">
        <v>189</v>
      </c>
    </row>
    <row r="6" spans="1:2" x14ac:dyDescent="0.25">
      <c r="A6" s="60" t="s">
        <v>20</v>
      </c>
      <c r="B6" s="60" t="s">
        <v>21</v>
      </c>
    </row>
    <row r="7" spans="1:2" x14ac:dyDescent="0.25">
      <c r="A7" s="60" t="s">
        <v>1</v>
      </c>
      <c r="B7" s="61">
        <v>45623</v>
      </c>
    </row>
    <row r="8" spans="1:2" x14ac:dyDescent="0.25">
      <c r="A8" s="60" t="s">
        <v>22</v>
      </c>
      <c r="B8" s="62">
        <v>0.86427083333333332</v>
      </c>
    </row>
    <row r="9" spans="1:2" x14ac:dyDescent="0.25">
      <c r="A9" s="60" t="s">
        <v>23</v>
      </c>
      <c r="B9" s="60" t="s">
        <v>101</v>
      </c>
    </row>
    <row r="10" spans="1:2" x14ac:dyDescent="0.25">
      <c r="A10" s="60" t="s">
        <v>24</v>
      </c>
      <c r="B10" s="60" t="s">
        <v>190</v>
      </c>
    </row>
    <row r="11" spans="1:2" x14ac:dyDescent="0.25">
      <c r="A11" s="60" t="s">
        <v>25</v>
      </c>
      <c r="B11" s="60" t="s">
        <v>26</v>
      </c>
    </row>
    <row r="13" spans="1:2" x14ac:dyDescent="0.25">
      <c r="A13" s="63" t="s">
        <v>27</v>
      </c>
      <c r="B13" s="64"/>
    </row>
    <row r="14" spans="1:2" x14ac:dyDescent="0.25">
      <c r="A14" s="60" t="s">
        <v>28</v>
      </c>
      <c r="B14" s="60" t="s">
        <v>29</v>
      </c>
    </row>
    <row r="15" spans="1:2" x14ac:dyDescent="0.25">
      <c r="A15" s="60" t="s">
        <v>30</v>
      </c>
    </row>
    <row r="16" spans="1:2" x14ac:dyDescent="0.25">
      <c r="A16" s="60" t="s">
        <v>31</v>
      </c>
      <c r="B16" s="60" t="s">
        <v>32</v>
      </c>
    </row>
    <row r="17" spans="1:15" x14ac:dyDescent="0.25">
      <c r="B17" s="60" t="s">
        <v>33</v>
      </c>
    </row>
    <row r="18" spans="1:15" x14ac:dyDescent="0.25">
      <c r="B18" s="60" t="s">
        <v>96</v>
      </c>
    </row>
    <row r="19" spans="1:15" x14ac:dyDescent="0.25">
      <c r="B19" s="60" t="s">
        <v>97</v>
      </c>
    </row>
    <row r="21" spans="1:15" x14ac:dyDescent="0.25">
      <c r="A21" s="63" t="s">
        <v>34</v>
      </c>
      <c r="B21" s="64"/>
    </row>
    <row r="23" spans="1:15" x14ac:dyDescent="0.25">
      <c r="B23" s="65"/>
      <c r="C23" s="66">
        <v>1</v>
      </c>
      <c r="D23" s="66">
        <v>2</v>
      </c>
      <c r="E23" s="66">
        <v>3</v>
      </c>
      <c r="F23" s="66">
        <v>4</v>
      </c>
      <c r="G23" s="66">
        <v>5</v>
      </c>
      <c r="H23" s="66">
        <v>6</v>
      </c>
      <c r="I23" s="66">
        <v>7</v>
      </c>
      <c r="J23" s="66">
        <v>8</v>
      </c>
      <c r="K23" s="66">
        <v>9</v>
      </c>
      <c r="L23" s="66">
        <v>10</v>
      </c>
      <c r="M23" s="66">
        <v>11</v>
      </c>
      <c r="N23" s="66">
        <v>12</v>
      </c>
    </row>
    <row r="24" spans="1:15" x14ac:dyDescent="0.25">
      <c r="B24" s="93" t="s">
        <v>35</v>
      </c>
      <c r="C24" s="67" t="s">
        <v>36</v>
      </c>
      <c r="D24" s="68" t="s">
        <v>102</v>
      </c>
      <c r="E24" s="69" t="s">
        <v>50</v>
      </c>
      <c r="F24" s="69" t="s">
        <v>51</v>
      </c>
      <c r="G24" s="69" t="s">
        <v>52</v>
      </c>
      <c r="H24" s="69" t="s">
        <v>131</v>
      </c>
      <c r="I24" s="69" t="s">
        <v>194</v>
      </c>
      <c r="J24" s="69" t="s">
        <v>195</v>
      </c>
      <c r="K24" s="69" t="s">
        <v>196</v>
      </c>
      <c r="L24" s="69" t="s">
        <v>197</v>
      </c>
      <c r="M24" s="69" t="s">
        <v>198</v>
      </c>
      <c r="N24" s="69" t="s">
        <v>199</v>
      </c>
      <c r="O24" s="71" t="s">
        <v>39</v>
      </c>
    </row>
    <row r="25" spans="1:15" x14ac:dyDescent="0.25">
      <c r="B25" s="94"/>
      <c r="C25" s="72"/>
      <c r="D25" s="73">
        <v>100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1" t="s">
        <v>40</v>
      </c>
    </row>
    <row r="26" spans="1:15" x14ac:dyDescent="0.25">
      <c r="B26" s="93" t="s">
        <v>41</v>
      </c>
      <c r="C26" s="67" t="s">
        <v>36</v>
      </c>
      <c r="D26" s="68" t="s">
        <v>102</v>
      </c>
      <c r="E26" s="69" t="s">
        <v>50</v>
      </c>
      <c r="F26" s="69" t="s">
        <v>51</v>
      </c>
      <c r="G26" s="69" t="s">
        <v>52</v>
      </c>
      <c r="H26" s="69" t="s">
        <v>131</v>
      </c>
      <c r="I26" s="69" t="s">
        <v>194</v>
      </c>
      <c r="J26" s="69" t="s">
        <v>195</v>
      </c>
      <c r="K26" s="69" t="s">
        <v>196</v>
      </c>
      <c r="L26" s="69" t="s">
        <v>197</v>
      </c>
      <c r="M26" s="69" t="s">
        <v>198</v>
      </c>
      <c r="N26" s="69" t="s">
        <v>199</v>
      </c>
      <c r="O26" s="71" t="s">
        <v>39</v>
      </c>
    </row>
    <row r="27" spans="1:15" x14ac:dyDescent="0.25">
      <c r="B27" s="94"/>
      <c r="C27" s="72"/>
      <c r="D27" s="73">
        <v>100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1" t="s">
        <v>40</v>
      </c>
    </row>
    <row r="28" spans="1:15" x14ac:dyDescent="0.25">
      <c r="B28" s="93" t="s">
        <v>42</v>
      </c>
      <c r="C28" s="68" t="s">
        <v>98</v>
      </c>
      <c r="D28" s="68" t="s">
        <v>55</v>
      </c>
      <c r="E28" s="69" t="s">
        <v>56</v>
      </c>
      <c r="F28" s="69" t="s">
        <v>57</v>
      </c>
      <c r="G28" s="69" t="s">
        <v>132</v>
      </c>
      <c r="H28" s="69" t="s">
        <v>133</v>
      </c>
      <c r="I28" s="69" t="s">
        <v>200</v>
      </c>
      <c r="J28" s="69" t="s">
        <v>201</v>
      </c>
      <c r="K28" s="69" t="s">
        <v>202</v>
      </c>
      <c r="L28" s="69" t="s">
        <v>203</v>
      </c>
      <c r="M28" s="69" t="s">
        <v>204</v>
      </c>
      <c r="N28" s="69" t="s">
        <v>205</v>
      </c>
      <c r="O28" s="71" t="s">
        <v>39</v>
      </c>
    </row>
    <row r="29" spans="1:15" x14ac:dyDescent="0.25">
      <c r="B29" s="94"/>
      <c r="C29" s="73">
        <v>0</v>
      </c>
      <c r="D29" s="73">
        <v>150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1" t="s">
        <v>40</v>
      </c>
    </row>
    <row r="30" spans="1:15" x14ac:dyDescent="0.25">
      <c r="B30" s="93" t="s">
        <v>47</v>
      </c>
      <c r="C30" s="68" t="s">
        <v>98</v>
      </c>
      <c r="D30" s="68" t="s">
        <v>55</v>
      </c>
      <c r="E30" s="69" t="s">
        <v>56</v>
      </c>
      <c r="F30" s="69" t="s">
        <v>57</v>
      </c>
      <c r="G30" s="69" t="s">
        <v>132</v>
      </c>
      <c r="H30" s="69" t="s">
        <v>133</v>
      </c>
      <c r="I30" s="69" t="s">
        <v>200</v>
      </c>
      <c r="J30" s="69" t="s">
        <v>201</v>
      </c>
      <c r="K30" s="69" t="s">
        <v>202</v>
      </c>
      <c r="L30" s="69" t="s">
        <v>203</v>
      </c>
      <c r="M30" s="69" t="s">
        <v>204</v>
      </c>
      <c r="N30" s="69" t="s">
        <v>205</v>
      </c>
      <c r="O30" s="71" t="s">
        <v>39</v>
      </c>
    </row>
    <row r="31" spans="1:15" x14ac:dyDescent="0.25">
      <c r="B31" s="94"/>
      <c r="C31" s="73">
        <v>0</v>
      </c>
      <c r="D31" s="73">
        <v>150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1" t="s">
        <v>40</v>
      </c>
    </row>
    <row r="32" spans="1:15" x14ac:dyDescent="0.25">
      <c r="B32" s="93" t="s">
        <v>48</v>
      </c>
      <c r="C32" s="68" t="s">
        <v>43</v>
      </c>
      <c r="D32" s="68" t="s">
        <v>134</v>
      </c>
      <c r="E32" s="69" t="s">
        <v>37</v>
      </c>
      <c r="F32" s="69" t="s">
        <v>38</v>
      </c>
      <c r="G32" s="69" t="s">
        <v>135</v>
      </c>
      <c r="H32" s="69" t="s">
        <v>136</v>
      </c>
      <c r="I32" s="69" t="s">
        <v>206</v>
      </c>
      <c r="J32" s="69" t="s">
        <v>207</v>
      </c>
      <c r="K32" s="69" t="s">
        <v>208</v>
      </c>
      <c r="L32" s="69" t="s">
        <v>209</v>
      </c>
      <c r="M32" s="69" t="s">
        <v>210</v>
      </c>
      <c r="N32" s="69" t="s">
        <v>211</v>
      </c>
      <c r="O32" s="71" t="s">
        <v>39</v>
      </c>
    </row>
    <row r="33" spans="1:15" x14ac:dyDescent="0.25">
      <c r="B33" s="94"/>
      <c r="C33" s="73">
        <v>12.5</v>
      </c>
      <c r="D33" s="73">
        <v>200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1" t="s">
        <v>40</v>
      </c>
    </row>
    <row r="34" spans="1:15" x14ac:dyDescent="0.25">
      <c r="B34" s="93" t="s">
        <v>53</v>
      </c>
      <c r="C34" s="68" t="s">
        <v>43</v>
      </c>
      <c r="D34" s="68" t="s">
        <v>134</v>
      </c>
      <c r="E34" s="69" t="s">
        <v>37</v>
      </c>
      <c r="F34" s="69" t="s">
        <v>38</v>
      </c>
      <c r="G34" s="69" t="s">
        <v>135</v>
      </c>
      <c r="H34" s="69" t="s">
        <v>136</v>
      </c>
      <c r="I34" s="69" t="s">
        <v>206</v>
      </c>
      <c r="J34" s="69" t="s">
        <v>207</v>
      </c>
      <c r="K34" s="69" t="s">
        <v>208</v>
      </c>
      <c r="L34" s="69" t="s">
        <v>209</v>
      </c>
      <c r="M34" s="69" t="s">
        <v>210</v>
      </c>
      <c r="N34" s="69" t="s">
        <v>211</v>
      </c>
      <c r="O34" s="71" t="s">
        <v>39</v>
      </c>
    </row>
    <row r="35" spans="1:15" x14ac:dyDescent="0.25">
      <c r="B35" s="94"/>
      <c r="C35" s="73">
        <v>12.5</v>
      </c>
      <c r="D35" s="73">
        <v>200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1" t="s">
        <v>40</v>
      </c>
    </row>
    <row r="36" spans="1:15" x14ac:dyDescent="0.25">
      <c r="B36" s="93" t="s">
        <v>54</v>
      </c>
      <c r="C36" s="68" t="s">
        <v>49</v>
      </c>
      <c r="D36" s="69" t="s">
        <v>44</v>
      </c>
      <c r="E36" s="69" t="s">
        <v>45</v>
      </c>
      <c r="F36" s="69" t="s">
        <v>46</v>
      </c>
      <c r="G36" s="69" t="s">
        <v>137</v>
      </c>
      <c r="H36" s="69" t="s">
        <v>138</v>
      </c>
      <c r="I36" s="69" t="s">
        <v>212</v>
      </c>
      <c r="J36" s="69" t="s">
        <v>213</v>
      </c>
      <c r="K36" s="69" t="s">
        <v>214</v>
      </c>
      <c r="L36" s="69" t="s">
        <v>215</v>
      </c>
      <c r="M36" s="69" t="s">
        <v>216</v>
      </c>
      <c r="N36" s="69" t="s">
        <v>217</v>
      </c>
      <c r="O36" s="71" t="s">
        <v>39</v>
      </c>
    </row>
    <row r="37" spans="1:15" x14ac:dyDescent="0.25">
      <c r="B37" s="94"/>
      <c r="C37" s="73">
        <v>50</v>
      </c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1" t="s">
        <v>40</v>
      </c>
    </row>
    <row r="38" spans="1:15" x14ac:dyDescent="0.25">
      <c r="B38" s="93" t="s">
        <v>58</v>
      </c>
      <c r="C38" s="68" t="s">
        <v>49</v>
      </c>
      <c r="D38" s="69" t="s">
        <v>44</v>
      </c>
      <c r="E38" s="69" t="s">
        <v>45</v>
      </c>
      <c r="F38" s="69" t="s">
        <v>46</v>
      </c>
      <c r="G38" s="69" t="s">
        <v>137</v>
      </c>
      <c r="H38" s="69" t="s">
        <v>138</v>
      </c>
      <c r="I38" s="69" t="s">
        <v>212</v>
      </c>
      <c r="J38" s="69" t="s">
        <v>213</v>
      </c>
      <c r="K38" s="69" t="s">
        <v>214</v>
      </c>
      <c r="L38" s="69" t="s">
        <v>215</v>
      </c>
      <c r="M38" s="69" t="s">
        <v>216</v>
      </c>
      <c r="N38" s="69" t="s">
        <v>217</v>
      </c>
      <c r="O38" s="71" t="s">
        <v>39</v>
      </c>
    </row>
    <row r="39" spans="1:15" x14ac:dyDescent="0.25">
      <c r="B39" s="94"/>
      <c r="C39" s="73">
        <v>50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1" t="s">
        <v>40</v>
      </c>
    </row>
    <row r="41" spans="1:15" x14ac:dyDescent="0.25">
      <c r="A41" s="63">
        <v>500</v>
      </c>
      <c r="B41" s="64"/>
    </row>
    <row r="42" spans="1:15" x14ac:dyDescent="0.25">
      <c r="A42" s="60" t="s">
        <v>59</v>
      </c>
      <c r="B42" s="60">
        <v>26.9</v>
      </c>
    </row>
    <row r="43" spans="1:15" x14ac:dyDescent="0.25">
      <c r="A43" s="60" t="s">
        <v>59</v>
      </c>
      <c r="B43" s="60">
        <v>26.9</v>
      </c>
    </row>
    <row r="44" spans="1:15" x14ac:dyDescent="0.25">
      <c r="A44" s="60" t="s">
        <v>59</v>
      </c>
      <c r="B44" s="60">
        <v>26.9</v>
      </c>
    </row>
    <row r="45" spans="1:15" x14ac:dyDescent="0.25">
      <c r="A45" s="60" t="s">
        <v>59</v>
      </c>
      <c r="B45" s="60">
        <v>26.9</v>
      </c>
    </row>
    <row r="46" spans="1:15" x14ac:dyDescent="0.25">
      <c r="A46" s="60" t="s">
        <v>59</v>
      </c>
      <c r="B46" s="60">
        <v>26.9</v>
      </c>
    </row>
    <row r="48" spans="1:15" x14ac:dyDescent="0.25">
      <c r="B48" s="66" t="s">
        <v>39</v>
      </c>
      <c r="C48" s="66" t="s">
        <v>60</v>
      </c>
      <c r="D48" s="66" t="s">
        <v>40</v>
      </c>
      <c r="E48" s="66">
        <v>500</v>
      </c>
      <c r="F48" s="66" t="s">
        <v>61</v>
      </c>
      <c r="G48" s="66" t="s">
        <v>4</v>
      </c>
      <c r="H48" s="66" t="s">
        <v>62</v>
      </c>
      <c r="I48" s="66" t="s">
        <v>63</v>
      </c>
    </row>
    <row r="49" spans="2:9" x14ac:dyDescent="0.25">
      <c r="B49" s="76" t="s">
        <v>36</v>
      </c>
      <c r="C49" s="76" t="s">
        <v>64</v>
      </c>
      <c r="D49" s="76"/>
      <c r="E49" s="76">
        <v>5.1999999999999998E-2</v>
      </c>
      <c r="F49" s="76">
        <v>2</v>
      </c>
      <c r="G49" s="76">
        <v>4.7E-2</v>
      </c>
      <c r="H49" s="76">
        <v>6.0000000000000001E-3</v>
      </c>
      <c r="I49" s="76">
        <v>12.369</v>
      </c>
    </row>
    <row r="50" spans="2:9" x14ac:dyDescent="0.25">
      <c r="B50" s="76"/>
      <c r="C50" s="76" t="s">
        <v>65</v>
      </c>
      <c r="D50" s="76"/>
      <c r="E50" s="76">
        <v>4.2999999999999997E-2</v>
      </c>
      <c r="F50" s="76"/>
      <c r="G50" s="76"/>
      <c r="H50" s="76"/>
      <c r="I50" s="76"/>
    </row>
    <row r="51" spans="2:9" x14ac:dyDescent="0.25">
      <c r="B51" s="76" t="s">
        <v>44</v>
      </c>
      <c r="C51" s="76" t="s">
        <v>70</v>
      </c>
      <c r="D51" s="76"/>
      <c r="E51" s="76">
        <v>0.193</v>
      </c>
      <c r="F51" s="76">
        <v>2</v>
      </c>
      <c r="G51" s="76">
        <v>0.189</v>
      </c>
      <c r="H51" s="76">
        <v>6.0000000000000001E-3</v>
      </c>
      <c r="I51" s="76">
        <v>3.2229999999999999</v>
      </c>
    </row>
    <row r="52" spans="2:9" x14ac:dyDescent="0.25">
      <c r="B52" s="76"/>
      <c r="C52" s="76" t="s">
        <v>71</v>
      </c>
      <c r="D52" s="76"/>
      <c r="E52" s="76">
        <v>0.184</v>
      </c>
      <c r="F52" s="76"/>
      <c r="G52" s="76"/>
      <c r="H52" s="76"/>
      <c r="I52" s="76"/>
    </row>
    <row r="53" spans="2:9" x14ac:dyDescent="0.25">
      <c r="B53" s="76" t="s">
        <v>50</v>
      </c>
      <c r="C53" s="76" t="s">
        <v>72</v>
      </c>
      <c r="D53" s="76"/>
      <c r="E53" s="76">
        <v>0.13800000000000001</v>
      </c>
      <c r="F53" s="76">
        <v>2</v>
      </c>
      <c r="G53" s="76">
        <v>0.14299999999999999</v>
      </c>
      <c r="H53" s="76">
        <v>7.0000000000000001E-3</v>
      </c>
      <c r="I53" s="76">
        <v>4.6550000000000002</v>
      </c>
    </row>
    <row r="54" spans="2:9" x14ac:dyDescent="0.25">
      <c r="B54" s="76"/>
      <c r="C54" s="76" t="s">
        <v>73</v>
      </c>
      <c r="D54" s="76"/>
      <c r="E54" s="76">
        <v>0.14699999999999999</v>
      </c>
      <c r="F54" s="76"/>
      <c r="G54" s="76"/>
      <c r="H54" s="76"/>
      <c r="I54" s="76"/>
    </row>
    <row r="55" spans="2:9" x14ac:dyDescent="0.25">
      <c r="B55" s="76" t="s">
        <v>56</v>
      </c>
      <c r="C55" s="76" t="s">
        <v>74</v>
      </c>
      <c r="D55" s="76"/>
      <c r="E55" s="76">
        <v>8.6999999999999994E-2</v>
      </c>
      <c r="F55" s="76">
        <v>2</v>
      </c>
      <c r="G55" s="76">
        <v>8.8999999999999996E-2</v>
      </c>
      <c r="H55" s="76">
        <v>3.0000000000000001E-3</v>
      </c>
      <c r="I55" s="76">
        <v>3.2589999999999999</v>
      </c>
    </row>
    <row r="56" spans="2:9" x14ac:dyDescent="0.25">
      <c r="B56" s="76"/>
      <c r="C56" s="76" t="s">
        <v>75</v>
      </c>
      <c r="D56" s="76"/>
      <c r="E56" s="76">
        <v>9.0999999999999998E-2</v>
      </c>
      <c r="F56" s="76"/>
      <c r="G56" s="76"/>
      <c r="H56" s="76"/>
      <c r="I56" s="76"/>
    </row>
    <row r="57" spans="2:9" x14ac:dyDescent="0.25">
      <c r="B57" s="76" t="s">
        <v>37</v>
      </c>
      <c r="C57" s="76" t="s">
        <v>76</v>
      </c>
      <c r="D57" s="76"/>
      <c r="E57" s="76">
        <v>0.153</v>
      </c>
      <c r="F57" s="76">
        <v>2</v>
      </c>
      <c r="G57" s="76">
        <v>0.14499999999999999</v>
      </c>
      <c r="H57" s="76">
        <v>1.0999999999999999E-2</v>
      </c>
      <c r="I57" s="76">
        <v>7.4939999999999998</v>
      </c>
    </row>
    <row r="58" spans="2:9" x14ac:dyDescent="0.25">
      <c r="B58" s="76"/>
      <c r="C58" s="76" t="s">
        <v>77</v>
      </c>
      <c r="D58" s="76"/>
      <c r="E58" s="76">
        <v>0.13800000000000001</v>
      </c>
      <c r="F58" s="76"/>
      <c r="G58" s="76"/>
      <c r="H58" s="76"/>
      <c r="I58" s="76"/>
    </row>
    <row r="59" spans="2:9" x14ac:dyDescent="0.25">
      <c r="B59" s="76" t="s">
        <v>45</v>
      </c>
      <c r="C59" s="76" t="s">
        <v>78</v>
      </c>
      <c r="D59" s="76"/>
      <c r="E59" s="76">
        <v>0.105</v>
      </c>
      <c r="F59" s="76">
        <v>2</v>
      </c>
      <c r="G59" s="76">
        <v>0.104</v>
      </c>
      <c r="H59" s="76">
        <v>1E-3</v>
      </c>
      <c r="I59" s="76">
        <v>1.2230000000000001</v>
      </c>
    </row>
    <row r="60" spans="2:9" x14ac:dyDescent="0.25">
      <c r="B60" s="76"/>
      <c r="C60" s="76" t="s">
        <v>79</v>
      </c>
      <c r="D60" s="76"/>
      <c r="E60" s="76">
        <v>0.10299999999999999</v>
      </c>
      <c r="F60" s="76"/>
      <c r="G60" s="76"/>
      <c r="H60" s="76"/>
      <c r="I60" s="76"/>
    </row>
    <row r="61" spans="2:9" x14ac:dyDescent="0.25">
      <c r="B61" s="76" t="s">
        <v>51</v>
      </c>
      <c r="C61" s="76" t="s">
        <v>80</v>
      </c>
      <c r="D61" s="76"/>
      <c r="E61" s="76">
        <v>0.115</v>
      </c>
      <c r="F61" s="76">
        <v>2</v>
      </c>
      <c r="G61" s="76">
        <v>0.114</v>
      </c>
      <c r="H61" s="76">
        <v>1E-3</v>
      </c>
      <c r="I61" s="76">
        <v>0.86499999999999999</v>
      </c>
    </row>
    <row r="62" spans="2:9" x14ac:dyDescent="0.25">
      <c r="B62" s="76"/>
      <c r="C62" s="76" t="s">
        <v>81</v>
      </c>
      <c r="D62" s="76"/>
      <c r="E62" s="76">
        <v>0.114</v>
      </c>
      <c r="F62" s="76"/>
      <c r="G62" s="76"/>
      <c r="H62" s="76"/>
      <c r="I62" s="76"/>
    </row>
    <row r="63" spans="2:9" x14ac:dyDescent="0.25">
      <c r="B63" s="76" t="s">
        <v>57</v>
      </c>
      <c r="C63" s="76" t="s">
        <v>82</v>
      </c>
      <c r="D63" s="76"/>
      <c r="E63" s="76">
        <v>0.154</v>
      </c>
      <c r="F63" s="76">
        <v>2</v>
      </c>
      <c r="G63" s="76">
        <v>0.156</v>
      </c>
      <c r="H63" s="76">
        <v>3.0000000000000001E-3</v>
      </c>
      <c r="I63" s="76">
        <v>1.6759999999999999</v>
      </c>
    </row>
    <row r="64" spans="2:9" x14ac:dyDescent="0.25">
      <c r="B64" s="76"/>
      <c r="C64" s="76" t="s">
        <v>83</v>
      </c>
      <c r="D64" s="76"/>
      <c r="E64" s="76">
        <v>0.158</v>
      </c>
      <c r="F64" s="76"/>
      <c r="G64" s="76"/>
      <c r="H64" s="76"/>
      <c r="I64" s="76"/>
    </row>
    <row r="65" spans="2:9" x14ac:dyDescent="0.25">
      <c r="B65" s="76" t="s">
        <v>38</v>
      </c>
      <c r="C65" s="76" t="s">
        <v>84</v>
      </c>
      <c r="D65" s="76"/>
      <c r="E65" s="76">
        <v>8.3000000000000004E-2</v>
      </c>
      <c r="F65" s="76">
        <v>2</v>
      </c>
      <c r="G65" s="76">
        <v>0.111</v>
      </c>
      <c r="H65" s="76">
        <v>4.1000000000000002E-2</v>
      </c>
      <c r="I65" s="76">
        <v>36.387</v>
      </c>
    </row>
    <row r="66" spans="2:9" x14ac:dyDescent="0.25">
      <c r="B66" s="76"/>
      <c r="C66" s="76" t="s">
        <v>85</v>
      </c>
      <c r="D66" s="76"/>
      <c r="E66" s="76">
        <v>0.14000000000000001</v>
      </c>
      <c r="F66" s="76"/>
      <c r="G66" s="76"/>
      <c r="H66" s="76"/>
      <c r="I66" s="76"/>
    </row>
    <row r="67" spans="2:9" x14ac:dyDescent="0.25">
      <c r="B67" s="76" t="s">
        <v>46</v>
      </c>
      <c r="C67" s="76" t="s">
        <v>86</v>
      </c>
      <c r="D67" s="76"/>
      <c r="E67" s="76">
        <v>0.23100000000000001</v>
      </c>
      <c r="F67" s="76">
        <v>2</v>
      </c>
      <c r="G67" s="76">
        <v>0.22700000000000001</v>
      </c>
      <c r="H67" s="76">
        <v>5.0000000000000001E-3</v>
      </c>
      <c r="I67" s="76">
        <v>2.2400000000000002</v>
      </c>
    </row>
    <row r="68" spans="2:9" x14ac:dyDescent="0.25">
      <c r="B68" s="76"/>
      <c r="C68" s="76" t="s">
        <v>87</v>
      </c>
      <c r="D68" s="76"/>
      <c r="E68" s="76">
        <v>0.224</v>
      </c>
      <c r="F68" s="76"/>
      <c r="G68" s="76"/>
      <c r="H68" s="76"/>
      <c r="I68" s="76"/>
    </row>
    <row r="69" spans="2:9" x14ac:dyDescent="0.25">
      <c r="B69" s="76" t="s">
        <v>52</v>
      </c>
      <c r="C69" s="76" t="s">
        <v>139</v>
      </c>
      <c r="D69" s="76"/>
      <c r="E69" s="76">
        <v>8.6999999999999994E-2</v>
      </c>
      <c r="F69" s="76">
        <v>2</v>
      </c>
      <c r="G69" s="76">
        <v>8.6999999999999994E-2</v>
      </c>
      <c r="H69" s="76">
        <v>0</v>
      </c>
      <c r="I69" s="76">
        <v>0.32500000000000001</v>
      </c>
    </row>
    <row r="70" spans="2:9" x14ac:dyDescent="0.25">
      <c r="B70" s="76"/>
      <c r="C70" s="76" t="s">
        <v>140</v>
      </c>
      <c r="D70" s="76"/>
      <c r="E70" s="76">
        <v>8.6999999999999994E-2</v>
      </c>
      <c r="F70" s="76"/>
      <c r="G70" s="76"/>
      <c r="H70" s="76"/>
      <c r="I70" s="76"/>
    </row>
    <row r="71" spans="2:9" x14ac:dyDescent="0.25">
      <c r="B71" s="76" t="s">
        <v>132</v>
      </c>
      <c r="C71" s="76" t="s">
        <v>141</v>
      </c>
      <c r="D71" s="76"/>
      <c r="E71" s="76">
        <v>0.14799999999999999</v>
      </c>
      <c r="F71" s="76">
        <v>2</v>
      </c>
      <c r="G71" s="76">
        <v>0.16700000000000001</v>
      </c>
      <c r="H71" s="76">
        <v>2.8000000000000001E-2</v>
      </c>
      <c r="I71" s="76">
        <v>16.463999999999999</v>
      </c>
    </row>
    <row r="72" spans="2:9" x14ac:dyDescent="0.25">
      <c r="B72" s="76"/>
      <c r="C72" s="76" t="s">
        <v>142</v>
      </c>
      <c r="D72" s="76"/>
      <c r="E72" s="76">
        <v>0.187</v>
      </c>
      <c r="F72" s="76"/>
      <c r="G72" s="76"/>
      <c r="H72" s="76"/>
      <c r="I72" s="76"/>
    </row>
    <row r="73" spans="2:9" x14ac:dyDescent="0.25">
      <c r="B73" s="76" t="s">
        <v>135</v>
      </c>
      <c r="C73" s="76" t="s">
        <v>143</v>
      </c>
      <c r="D73" s="76"/>
      <c r="E73" s="76">
        <v>0.155</v>
      </c>
      <c r="F73" s="76">
        <v>2</v>
      </c>
      <c r="G73" s="76">
        <v>0.16900000000000001</v>
      </c>
      <c r="H73" s="76">
        <v>0.02</v>
      </c>
      <c r="I73" s="76">
        <v>11.882999999999999</v>
      </c>
    </row>
    <row r="74" spans="2:9" x14ac:dyDescent="0.25">
      <c r="B74" s="76"/>
      <c r="C74" s="76" t="s">
        <v>144</v>
      </c>
      <c r="D74" s="76"/>
      <c r="E74" s="76">
        <v>0.183</v>
      </c>
      <c r="F74" s="76"/>
      <c r="G74" s="76"/>
      <c r="H74" s="76"/>
      <c r="I74" s="76"/>
    </row>
    <row r="75" spans="2:9" x14ac:dyDescent="0.25">
      <c r="B75" s="76" t="s">
        <v>137</v>
      </c>
      <c r="C75" s="76" t="s">
        <v>145</v>
      </c>
      <c r="D75" s="76"/>
      <c r="E75" s="76">
        <v>9.1999999999999998E-2</v>
      </c>
      <c r="F75" s="76">
        <v>2</v>
      </c>
      <c r="G75" s="76">
        <v>9.2999999999999999E-2</v>
      </c>
      <c r="H75" s="76">
        <v>1E-3</v>
      </c>
      <c r="I75" s="76">
        <v>1.5169999999999999</v>
      </c>
    </row>
    <row r="76" spans="2:9" x14ac:dyDescent="0.25">
      <c r="B76" s="76"/>
      <c r="C76" s="76" t="s">
        <v>146</v>
      </c>
      <c r="D76" s="76"/>
      <c r="E76" s="76">
        <v>9.4E-2</v>
      </c>
      <c r="F76" s="76"/>
      <c r="G76" s="76"/>
      <c r="H76" s="76"/>
      <c r="I76" s="76"/>
    </row>
    <row r="77" spans="2:9" x14ac:dyDescent="0.25">
      <c r="B77" s="76" t="s">
        <v>131</v>
      </c>
      <c r="C77" s="76" t="s">
        <v>147</v>
      </c>
      <c r="D77" s="76"/>
      <c r="E77" s="76">
        <v>0.19400000000000001</v>
      </c>
      <c r="F77" s="76">
        <v>2</v>
      </c>
      <c r="G77" s="76">
        <v>0.20699999999999999</v>
      </c>
      <c r="H77" s="76">
        <v>1.9E-2</v>
      </c>
      <c r="I77" s="76">
        <v>9.2230000000000008</v>
      </c>
    </row>
    <row r="78" spans="2:9" x14ac:dyDescent="0.25">
      <c r="B78" s="76"/>
      <c r="C78" s="76" t="s">
        <v>148</v>
      </c>
      <c r="D78" s="76"/>
      <c r="E78" s="76">
        <v>0.221</v>
      </c>
      <c r="F78" s="76"/>
      <c r="G78" s="76"/>
      <c r="H78" s="76"/>
      <c r="I78" s="76"/>
    </row>
    <row r="79" spans="2:9" x14ac:dyDescent="0.25">
      <c r="B79" s="76" t="s">
        <v>133</v>
      </c>
      <c r="C79" s="76" t="s">
        <v>149</v>
      </c>
      <c r="D79" s="76"/>
      <c r="E79" s="76">
        <v>0.10299999999999999</v>
      </c>
      <c r="F79" s="76">
        <v>2</v>
      </c>
      <c r="G79" s="76">
        <v>0.104</v>
      </c>
      <c r="H79" s="76">
        <v>2E-3</v>
      </c>
      <c r="I79" s="76">
        <v>1.9670000000000001</v>
      </c>
    </row>
    <row r="80" spans="2:9" x14ac:dyDescent="0.25">
      <c r="B80" s="76"/>
      <c r="C80" s="76" t="s">
        <v>150</v>
      </c>
      <c r="D80" s="76"/>
      <c r="E80" s="76">
        <v>0.106</v>
      </c>
      <c r="F80" s="76"/>
      <c r="G80" s="76"/>
      <c r="H80" s="76"/>
      <c r="I80" s="76"/>
    </row>
    <row r="81" spans="2:9" x14ac:dyDescent="0.25">
      <c r="B81" s="76" t="s">
        <v>136</v>
      </c>
      <c r="C81" s="76" t="s">
        <v>151</v>
      </c>
      <c r="D81" s="76"/>
      <c r="E81" s="76">
        <v>9.6000000000000002E-2</v>
      </c>
      <c r="F81" s="76">
        <v>2</v>
      </c>
      <c r="G81" s="76">
        <v>9.9000000000000005E-2</v>
      </c>
      <c r="H81" s="76">
        <v>3.0000000000000001E-3</v>
      </c>
      <c r="I81" s="76">
        <v>3.2290000000000001</v>
      </c>
    </row>
    <row r="82" spans="2:9" x14ac:dyDescent="0.25">
      <c r="B82" s="76"/>
      <c r="C82" s="76" t="s">
        <v>152</v>
      </c>
      <c r="D82" s="76"/>
      <c r="E82" s="76">
        <v>0.10100000000000001</v>
      </c>
      <c r="F82" s="76"/>
      <c r="G82" s="76"/>
      <c r="H82" s="76"/>
      <c r="I82" s="76"/>
    </row>
    <row r="83" spans="2:9" x14ac:dyDescent="0.25">
      <c r="B83" s="76" t="s">
        <v>138</v>
      </c>
      <c r="C83" s="76" t="s">
        <v>153</v>
      </c>
      <c r="D83" s="76"/>
      <c r="E83" s="76">
        <v>9.2999999999999999E-2</v>
      </c>
      <c r="F83" s="76">
        <v>2</v>
      </c>
      <c r="G83" s="76">
        <v>9.2999999999999999E-2</v>
      </c>
      <c r="H83" s="76">
        <v>0</v>
      </c>
      <c r="I83" s="76">
        <v>0.45600000000000002</v>
      </c>
    </row>
    <row r="84" spans="2:9" x14ac:dyDescent="0.25">
      <c r="B84" s="76"/>
      <c r="C84" s="76" t="s">
        <v>154</v>
      </c>
      <c r="D84" s="76"/>
      <c r="E84" s="76">
        <v>9.2999999999999999E-2</v>
      </c>
      <c r="F84" s="76"/>
      <c r="G84" s="76"/>
      <c r="H84" s="76"/>
      <c r="I84" s="76"/>
    </row>
    <row r="85" spans="2:9" x14ac:dyDescent="0.25">
      <c r="B85" s="76" t="s">
        <v>194</v>
      </c>
      <c r="C85" s="76" t="s">
        <v>218</v>
      </c>
      <c r="D85" s="76"/>
      <c r="E85" s="76">
        <v>0.13200000000000001</v>
      </c>
      <c r="F85" s="76">
        <v>2</v>
      </c>
      <c r="G85" s="76">
        <v>0.13600000000000001</v>
      </c>
      <c r="H85" s="76">
        <v>6.0000000000000001E-3</v>
      </c>
      <c r="I85" s="76">
        <v>4.3739999999999997</v>
      </c>
    </row>
    <row r="86" spans="2:9" x14ac:dyDescent="0.25">
      <c r="B86" s="76"/>
      <c r="C86" s="76" t="s">
        <v>219</v>
      </c>
      <c r="D86" s="76"/>
      <c r="E86" s="76">
        <v>0.14000000000000001</v>
      </c>
      <c r="F86" s="76"/>
      <c r="G86" s="76"/>
      <c r="H86" s="76"/>
      <c r="I86" s="76"/>
    </row>
    <row r="87" spans="2:9" x14ac:dyDescent="0.25">
      <c r="B87" s="76" t="s">
        <v>200</v>
      </c>
      <c r="C87" s="76" t="s">
        <v>220</v>
      </c>
      <c r="D87" s="76"/>
      <c r="E87" s="76">
        <v>0.221</v>
      </c>
      <c r="F87" s="76">
        <v>2</v>
      </c>
      <c r="G87" s="76">
        <v>0.222</v>
      </c>
      <c r="H87" s="76">
        <v>2E-3</v>
      </c>
      <c r="I87" s="76">
        <v>1.05</v>
      </c>
    </row>
    <row r="88" spans="2:9" x14ac:dyDescent="0.25">
      <c r="B88" s="76"/>
      <c r="C88" s="76" t="s">
        <v>221</v>
      </c>
      <c r="D88" s="76"/>
      <c r="E88" s="76">
        <v>0.224</v>
      </c>
      <c r="F88" s="76"/>
      <c r="G88" s="76"/>
      <c r="H88" s="76"/>
      <c r="I88" s="76"/>
    </row>
    <row r="89" spans="2:9" x14ac:dyDescent="0.25">
      <c r="B89" s="76" t="s">
        <v>206</v>
      </c>
      <c r="C89" s="76" t="s">
        <v>222</v>
      </c>
      <c r="D89" s="76"/>
      <c r="E89" s="76">
        <v>6.0999999999999999E-2</v>
      </c>
      <c r="F89" s="76">
        <v>2</v>
      </c>
      <c r="G89" s="76">
        <v>6.2E-2</v>
      </c>
      <c r="H89" s="76">
        <v>1E-3</v>
      </c>
      <c r="I89" s="76">
        <v>1.8160000000000001</v>
      </c>
    </row>
    <row r="90" spans="2:9" x14ac:dyDescent="0.25">
      <c r="B90" s="76"/>
      <c r="C90" s="76" t="s">
        <v>223</v>
      </c>
      <c r="D90" s="76"/>
      <c r="E90" s="76">
        <v>6.3E-2</v>
      </c>
      <c r="F90" s="76"/>
      <c r="G90" s="76"/>
      <c r="H90" s="76"/>
      <c r="I90" s="76"/>
    </row>
    <row r="91" spans="2:9" x14ac:dyDescent="0.25">
      <c r="B91" s="76" t="s">
        <v>212</v>
      </c>
      <c r="C91" s="76" t="s">
        <v>224</v>
      </c>
      <c r="D91" s="76"/>
      <c r="E91" s="76">
        <v>8.8999999999999996E-2</v>
      </c>
      <c r="F91" s="76">
        <v>2</v>
      </c>
      <c r="G91" s="76">
        <v>0.09</v>
      </c>
      <c r="H91" s="76">
        <v>1E-3</v>
      </c>
      <c r="I91" s="76">
        <v>1.101</v>
      </c>
    </row>
    <row r="92" spans="2:9" x14ac:dyDescent="0.25">
      <c r="B92" s="76"/>
      <c r="C92" s="76" t="s">
        <v>225</v>
      </c>
      <c r="D92" s="76"/>
      <c r="E92" s="76">
        <v>9.0999999999999998E-2</v>
      </c>
      <c r="F92" s="76"/>
      <c r="G92" s="76"/>
      <c r="H92" s="76"/>
      <c r="I92" s="76"/>
    </row>
    <row r="93" spans="2:9" x14ac:dyDescent="0.25">
      <c r="B93" s="76" t="s">
        <v>195</v>
      </c>
      <c r="C93" s="76" t="s">
        <v>226</v>
      </c>
      <c r="D93" s="76"/>
      <c r="E93" s="76">
        <v>8.7999999999999995E-2</v>
      </c>
      <c r="F93" s="76">
        <v>2</v>
      </c>
      <c r="G93" s="76">
        <v>8.5000000000000006E-2</v>
      </c>
      <c r="H93" s="76">
        <v>3.0000000000000001E-3</v>
      </c>
      <c r="I93" s="76">
        <v>3.7240000000000002</v>
      </c>
    </row>
    <row r="94" spans="2:9" x14ac:dyDescent="0.25">
      <c r="B94" s="76"/>
      <c r="C94" s="76" t="s">
        <v>227</v>
      </c>
      <c r="D94" s="76"/>
      <c r="E94" s="76">
        <v>8.3000000000000004E-2</v>
      </c>
      <c r="F94" s="76"/>
      <c r="G94" s="76"/>
      <c r="H94" s="76"/>
      <c r="I94" s="76"/>
    </row>
    <row r="95" spans="2:9" x14ac:dyDescent="0.25">
      <c r="B95" s="76" t="s">
        <v>201</v>
      </c>
      <c r="C95" s="76" t="s">
        <v>228</v>
      </c>
      <c r="D95" s="76"/>
      <c r="E95" s="76">
        <v>0.14499999999999999</v>
      </c>
      <c r="F95" s="76">
        <v>2</v>
      </c>
      <c r="G95" s="76">
        <v>0.13900000000000001</v>
      </c>
      <c r="H95" s="76">
        <v>8.9999999999999993E-3</v>
      </c>
      <c r="I95" s="76">
        <v>6.38</v>
      </c>
    </row>
    <row r="96" spans="2:9" x14ac:dyDescent="0.25">
      <c r="B96" s="76"/>
      <c r="C96" s="76" t="s">
        <v>229</v>
      </c>
      <c r="D96" s="76"/>
      <c r="E96" s="76">
        <v>0.13200000000000001</v>
      </c>
      <c r="F96" s="76"/>
      <c r="G96" s="76"/>
      <c r="H96" s="76"/>
      <c r="I96" s="76"/>
    </row>
    <row r="97" spans="2:9" x14ac:dyDescent="0.25">
      <c r="B97" s="76" t="s">
        <v>207</v>
      </c>
      <c r="C97" s="76" t="s">
        <v>230</v>
      </c>
      <c r="D97" s="76"/>
      <c r="E97" s="76">
        <v>0.123</v>
      </c>
      <c r="F97" s="76">
        <v>2</v>
      </c>
      <c r="G97" s="76">
        <v>0.13</v>
      </c>
      <c r="H97" s="76">
        <v>0.01</v>
      </c>
      <c r="I97" s="76">
        <v>7.5750000000000002</v>
      </c>
    </row>
    <row r="98" spans="2:9" x14ac:dyDescent="0.25">
      <c r="B98" s="76"/>
      <c r="C98" s="76" t="s">
        <v>231</v>
      </c>
      <c r="D98" s="76"/>
      <c r="E98" s="76">
        <v>0.13700000000000001</v>
      </c>
      <c r="F98" s="76"/>
      <c r="G98" s="76"/>
      <c r="H98" s="76"/>
      <c r="I98" s="76"/>
    </row>
    <row r="99" spans="2:9" x14ac:dyDescent="0.25">
      <c r="B99" s="76" t="s">
        <v>213</v>
      </c>
      <c r="C99" s="76" t="s">
        <v>232</v>
      </c>
      <c r="D99" s="76"/>
      <c r="E99" s="76">
        <v>6.5000000000000002E-2</v>
      </c>
      <c r="F99" s="76">
        <v>2</v>
      </c>
      <c r="G99" s="76">
        <v>6.4000000000000001E-2</v>
      </c>
      <c r="H99" s="76">
        <v>2E-3</v>
      </c>
      <c r="I99" s="76">
        <v>2.4380000000000002</v>
      </c>
    </row>
    <row r="100" spans="2:9" x14ac:dyDescent="0.25">
      <c r="B100" s="76"/>
      <c r="C100" s="76" t="s">
        <v>233</v>
      </c>
      <c r="D100" s="76"/>
      <c r="E100" s="76">
        <v>6.3E-2</v>
      </c>
      <c r="F100" s="76"/>
      <c r="G100" s="76"/>
      <c r="H100" s="76"/>
      <c r="I100" s="76"/>
    </row>
    <row r="101" spans="2:9" x14ac:dyDescent="0.25">
      <c r="B101" s="76" t="s">
        <v>196</v>
      </c>
      <c r="C101" s="76" t="s">
        <v>234</v>
      </c>
      <c r="D101" s="76"/>
      <c r="E101" s="76">
        <v>9.4E-2</v>
      </c>
      <c r="F101" s="76">
        <v>2</v>
      </c>
      <c r="G101" s="76">
        <v>9.4E-2</v>
      </c>
      <c r="H101" s="76">
        <v>1E-3</v>
      </c>
      <c r="I101" s="76">
        <v>0.98099999999999998</v>
      </c>
    </row>
    <row r="102" spans="2:9" x14ac:dyDescent="0.25">
      <c r="B102" s="76"/>
      <c r="C102" s="76" t="s">
        <v>235</v>
      </c>
      <c r="D102" s="76"/>
      <c r="E102" s="76">
        <v>9.2999999999999999E-2</v>
      </c>
      <c r="F102" s="76"/>
      <c r="G102" s="76"/>
      <c r="H102" s="76"/>
      <c r="I102" s="76"/>
    </row>
    <row r="103" spans="2:9" x14ac:dyDescent="0.25">
      <c r="B103" s="76" t="s">
        <v>202</v>
      </c>
      <c r="C103" s="76" t="s">
        <v>236</v>
      </c>
      <c r="D103" s="76"/>
      <c r="E103" s="76">
        <v>6.3E-2</v>
      </c>
      <c r="F103" s="76">
        <v>2</v>
      </c>
      <c r="G103" s="76">
        <v>6.5000000000000002E-2</v>
      </c>
      <c r="H103" s="76">
        <v>2E-3</v>
      </c>
      <c r="I103" s="76">
        <v>2.7389999999999999</v>
      </c>
    </row>
    <row r="104" spans="2:9" x14ac:dyDescent="0.25">
      <c r="B104" s="76"/>
      <c r="C104" s="76" t="s">
        <v>237</v>
      </c>
      <c r="D104" s="76"/>
      <c r="E104" s="76">
        <v>6.6000000000000003E-2</v>
      </c>
      <c r="F104" s="76"/>
      <c r="G104" s="76"/>
      <c r="H104" s="76"/>
      <c r="I104" s="76"/>
    </row>
    <row r="105" spans="2:9" x14ac:dyDescent="0.25">
      <c r="B105" s="76" t="s">
        <v>208</v>
      </c>
      <c r="C105" s="76" t="s">
        <v>238</v>
      </c>
      <c r="D105" s="76"/>
      <c r="E105" s="76">
        <v>0.17499999999999999</v>
      </c>
      <c r="F105" s="76">
        <v>2</v>
      </c>
      <c r="G105" s="76">
        <v>0.187</v>
      </c>
      <c r="H105" s="76">
        <v>1.7000000000000001E-2</v>
      </c>
      <c r="I105" s="76">
        <v>8.9380000000000006</v>
      </c>
    </row>
    <row r="106" spans="2:9" x14ac:dyDescent="0.25">
      <c r="B106" s="76"/>
      <c r="C106" s="76" t="s">
        <v>239</v>
      </c>
      <c r="D106" s="76"/>
      <c r="E106" s="76">
        <v>0.19900000000000001</v>
      </c>
      <c r="F106" s="76"/>
      <c r="G106" s="76"/>
      <c r="H106" s="76"/>
      <c r="I106" s="76"/>
    </row>
    <row r="107" spans="2:9" x14ac:dyDescent="0.25">
      <c r="B107" s="76" t="s">
        <v>214</v>
      </c>
      <c r="C107" s="76" t="s">
        <v>240</v>
      </c>
      <c r="D107" s="76"/>
      <c r="E107" s="76">
        <v>9.7000000000000003E-2</v>
      </c>
      <c r="F107" s="76">
        <v>2</v>
      </c>
      <c r="G107" s="76">
        <v>9.7000000000000003E-2</v>
      </c>
      <c r="H107" s="76">
        <v>1E-3</v>
      </c>
      <c r="I107" s="76">
        <v>0.79900000000000004</v>
      </c>
    </row>
    <row r="108" spans="2:9" x14ac:dyDescent="0.25">
      <c r="B108" s="76"/>
      <c r="C108" s="76" t="s">
        <v>241</v>
      </c>
      <c r="D108" s="76"/>
      <c r="E108" s="76">
        <v>9.8000000000000004E-2</v>
      </c>
      <c r="F108" s="76"/>
      <c r="G108" s="76"/>
      <c r="H108" s="76"/>
      <c r="I108" s="76"/>
    </row>
    <row r="109" spans="2:9" x14ac:dyDescent="0.25">
      <c r="B109" s="76" t="s">
        <v>197</v>
      </c>
      <c r="C109" s="76" t="s">
        <v>242</v>
      </c>
      <c r="D109" s="76"/>
      <c r="E109" s="76">
        <v>0.105</v>
      </c>
      <c r="F109" s="76">
        <v>2</v>
      </c>
      <c r="G109" s="76">
        <v>9.6000000000000002E-2</v>
      </c>
      <c r="H109" s="76">
        <v>1.2999999999999999E-2</v>
      </c>
      <c r="I109" s="76">
        <v>13.257999999999999</v>
      </c>
    </row>
    <row r="110" spans="2:9" x14ac:dyDescent="0.25">
      <c r="B110" s="76"/>
      <c r="C110" s="76" t="s">
        <v>243</v>
      </c>
      <c r="D110" s="76"/>
      <c r="E110" s="76">
        <v>8.6999999999999994E-2</v>
      </c>
      <c r="F110" s="76"/>
      <c r="G110" s="76"/>
      <c r="H110" s="76"/>
      <c r="I110" s="76"/>
    </row>
    <row r="111" spans="2:9" x14ac:dyDescent="0.25">
      <c r="B111" s="76" t="s">
        <v>203</v>
      </c>
      <c r="C111" s="76" t="s">
        <v>244</v>
      </c>
      <c r="D111" s="76"/>
      <c r="E111" s="76">
        <v>0.14899999999999999</v>
      </c>
      <c r="F111" s="76">
        <v>2</v>
      </c>
      <c r="G111" s="76">
        <v>0.151</v>
      </c>
      <c r="H111" s="76">
        <v>1E-3</v>
      </c>
      <c r="I111" s="76">
        <v>0.98599999999999999</v>
      </c>
    </row>
    <row r="112" spans="2:9" x14ac:dyDescent="0.25">
      <c r="B112" s="76"/>
      <c r="C112" s="76" t="s">
        <v>245</v>
      </c>
      <c r="D112" s="76"/>
      <c r="E112" s="76">
        <v>0.152</v>
      </c>
      <c r="F112" s="76"/>
      <c r="G112" s="76"/>
      <c r="H112" s="76"/>
      <c r="I112" s="76"/>
    </row>
    <row r="113" spans="2:9" x14ac:dyDescent="0.25">
      <c r="B113" s="76" t="s">
        <v>209</v>
      </c>
      <c r="C113" s="76" t="s">
        <v>246</v>
      </c>
      <c r="D113" s="76"/>
      <c r="E113" s="76">
        <v>0.25</v>
      </c>
      <c r="F113" s="76">
        <v>2</v>
      </c>
      <c r="G113" s="76">
        <v>0.24199999999999999</v>
      </c>
      <c r="H113" s="76">
        <v>1.0999999999999999E-2</v>
      </c>
      <c r="I113" s="76">
        <v>4.641</v>
      </c>
    </row>
    <row r="114" spans="2:9" x14ac:dyDescent="0.25">
      <c r="B114" s="76"/>
      <c r="C114" s="76" t="s">
        <v>247</v>
      </c>
      <c r="D114" s="76"/>
      <c r="E114" s="76">
        <v>0.23400000000000001</v>
      </c>
      <c r="F114" s="76"/>
      <c r="G114" s="76"/>
      <c r="H114" s="76"/>
      <c r="I114" s="76"/>
    </row>
    <row r="115" spans="2:9" x14ac:dyDescent="0.25">
      <c r="B115" s="76" t="s">
        <v>215</v>
      </c>
      <c r="C115" s="76" t="s">
        <v>248</v>
      </c>
      <c r="D115" s="76"/>
      <c r="E115" s="76">
        <v>0.11799999999999999</v>
      </c>
      <c r="F115" s="76">
        <v>2</v>
      </c>
      <c r="G115" s="76">
        <v>0.129</v>
      </c>
      <c r="H115" s="76">
        <v>1.4E-2</v>
      </c>
      <c r="I115" s="76">
        <v>11.276</v>
      </c>
    </row>
    <row r="116" spans="2:9" x14ac:dyDescent="0.25">
      <c r="B116" s="76"/>
      <c r="C116" s="76" t="s">
        <v>249</v>
      </c>
      <c r="D116" s="76"/>
      <c r="E116" s="76">
        <v>0.13900000000000001</v>
      </c>
      <c r="F116" s="76"/>
      <c r="G116" s="76"/>
      <c r="H116" s="76"/>
      <c r="I116" s="76"/>
    </row>
    <row r="117" spans="2:9" x14ac:dyDescent="0.25">
      <c r="B117" s="76" t="s">
        <v>198</v>
      </c>
      <c r="C117" s="76" t="s">
        <v>250</v>
      </c>
      <c r="D117" s="76"/>
      <c r="E117" s="76">
        <v>8.4000000000000005E-2</v>
      </c>
      <c r="F117" s="76">
        <v>2</v>
      </c>
      <c r="G117" s="76">
        <v>8.7999999999999995E-2</v>
      </c>
      <c r="H117" s="76">
        <v>5.0000000000000001E-3</v>
      </c>
      <c r="I117" s="76">
        <v>5.4050000000000002</v>
      </c>
    </row>
    <row r="118" spans="2:9" x14ac:dyDescent="0.25">
      <c r="B118" s="76"/>
      <c r="C118" s="76" t="s">
        <v>251</v>
      </c>
      <c r="D118" s="76"/>
      <c r="E118" s="76">
        <v>9.0999999999999998E-2</v>
      </c>
      <c r="F118" s="76"/>
      <c r="G118" s="76"/>
      <c r="H118" s="76"/>
      <c r="I118" s="76"/>
    </row>
    <row r="119" spans="2:9" x14ac:dyDescent="0.25">
      <c r="B119" s="76" t="s">
        <v>204</v>
      </c>
      <c r="C119" s="76" t="s">
        <v>252</v>
      </c>
      <c r="D119" s="76"/>
      <c r="E119" s="76">
        <v>0.14799999999999999</v>
      </c>
      <c r="F119" s="76">
        <v>2</v>
      </c>
      <c r="G119" s="76">
        <v>0.155</v>
      </c>
      <c r="H119" s="76">
        <v>8.9999999999999993E-3</v>
      </c>
      <c r="I119" s="76">
        <v>6.0330000000000004</v>
      </c>
    </row>
    <row r="120" spans="2:9" x14ac:dyDescent="0.25">
      <c r="B120" s="76"/>
      <c r="C120" s="76" t="s">
        <v>253</v>
      </c>
      <c r="D120" s="76"/>
      <c r="E120" s="76">
        <v>0.161</v>
      </c>
      <c r="F120" s="76"/>
      <c r="G120" s="76"/>
      <c r="H120" s="76"/>
      <c r="I120" s="76"/>
    </row>
    <row r="121" spans="2:9" x14ac:dyDescent="0.25">
      <c r="B121" s="76" t="s">
        <v>210</v>
      </c>
      <c r="C121" s="76" t="s">
        <v>254</v>
      </c>
      <c r="D121" s="76"/>
      <c r="E121" s="76">
        <v>0.17599999999999999</v>
      </c>
      <c r="F121" s="76">
        <v>2</v>
      </c>
      <c r="G121" s="76">
        <v>0.188</v>
      </c>
      <c r="H121" s="76">
        <v>1.7000000000000001E-2</v>
      </c>
      <c r="I121" s="76">
        <v>8.9019999999999992</v>
      </c>
    </row>
    <row r="122" spans="2:9" x14ac:dyDescent="0.25">
      <c r="B122" s="76"/>
      <c r="C122" s="76" t="s">
        <v>255</v>
      </c>
      <c r="D122" s="76"/>
      <c r="E122" s="76">
        <v>0.2</v>
      </c>
      <c r="F122" s="76"/>
      <c r="G122" s="76"/>
      <c r="H122" s="76"/>
      <c r="I122" s="76"/>
    </row>
    <row r="123" spans="2:9" x14ac:dyDescent="0.25">
      <c r="B123" s="76" t="s">
        <v>216</v>
      </c>
      <c r="C123" s="76" t="s">
        <v>256</v>
      </c>
      <c r="D123" s="76"/>
      <c r="E123" s="76">
        <v>0.14499999999999999</v>
      </c>
      <c r="F123" s="76">
        <v>2</v>
      </c>
      <c r="G123" s="76">
        <v>0.154</v>
      </c>
      <c r="H123" s="76">
        <v>1.2E-2</v>
      </c>
      <c r="I123" s="76">
        <v>7.7190000000000003</v>
      </c>
    </row>
    <row r="124" spans="2:9" x14ac:dyDescent="0.25">
      <c r="B124" s="76"/>
      <c r="C124" s="76" t="s">
        <v>257</v>
      </c>
      <c r="D124" s="76"/>
      <c r="E124" s="76">
        <v>0.16200000000000001</v>
      </c>
      <c r="F124" s="76"/>
      <c r="G124" s="76"/>
      <c r="H124" s="76"/>
      <c r="I124" s="76"/>
    </row>
    <row r="125" spans="2:9" x14ac:dyDescent="0.25">
      <c r="B125" s="76" t="s">
        <v>199</v>
      </c>
      <c r="C125" s="76" t="s">
        <v>258</v>
      </c>
      <c r="D125" s="76"/>
      <c r="E125" s="76">
        <v>8.6999999999999994E-2</v>
      </c>
      <c r="F125" s="76">
        <v>2</v>
      </c>
      <c r="G125" s="76">
        <v>9.1999999999999998E-2</v>
      </c>
      <c r="H125" s="76">
        <v>6.0000000000000001E-3</v>
      </c>
      <c r="I125" s="76">
        <v>6.2560000000000002</v>
      </c>
    </row>
    <row r="126" spans="2:9" x14ac:dyDescent="0.25">
      <c r="B126" s="76"/>
      <c r="C126" s="76" t="s">
        <v>259</v>
      </c>
      <c r="D126" s="76"/>
      <c r="E126" s="76">
        <v>9.6000000000000002E-2</v>
      </c>
      <c r="F126" s="76"/>
      <c r="G126" s="76"/>
      <c r="H126" s="76"/>
      <c r="I126" s="76"/>
    </row>
    <row r="127" spans="2:9" x14ac:dyDescent="0.25">
      <c r="B127" s="76" t="s">
        <v>205</v>
      </c>
      <c r="C127" s="76" t="s">
        <v>260</v>
      </c>
      <c r="D127" s="76"/>
      <c r="E127" s="76">
        <v>0.158</v>
      </c>
      <c r="F127" s="76">
        <v>2</v>
      </c>
      <c r="G127" s="76">
        <v>0.159</v>
      </c>
      <c r="H127" s="76">
        <v>1E-3</v>
      </c>
      <c r="I127" s="76">
        <v>0.71199999999999997</v>
      </c>
    </row>
    <row r="128" spans="2:9" x14ac:dyDescent="0.25">
      <c r="B128" s="76"/>
      <c r="C128" s="76" t="s">
        <v>261</v>
      </c>
      <c r="D128" s="76"/>
      <c r="E128" s="76">
        <v>0.16</v>
      </c>
      <c r="F128" s="76"/>
      <c r="G128" s="76"/>
      <c r="H128" s="76"/>
      <c r="I128" s="76"/>
    </row>
    <row r="129" spans="2:9" x14ac:dyDescent="0.25">
      <c r="B129" s="76" t="s">
        <v>211</v>
      </c>
      <c r="C129" s="76" t="s">
        <v>262</v>
      </c>
      <c r="D129" s="76"/>
      <c r="E129" s="76">
        <v>0.06</v>
      </c>
      <c r="F129" s="76">
        <v>2</v>
      </c>
      <c r="G129" s="76">
        <v>5.8999999999999997E-2</v>
      </c>
      <c r="H129" s="76">
        <v>1E-3</v>
      </c>
      <c r="I129" s="76">
        <v>1.196</v>
      </c>
    </row>
    <row r="130" spans="2:9" x14ac:dyDescent="0.25">
      <c r="B130" s="76"/>
      <c r="C130" s="76" t="s">
        <v>263</v>
      </c>
      <c r="D130" s="76"/>
      <c r="E130" s="76">
        <v>5.8999999999999997E-2</v>
      </c>
      <c r="F130" s="76"/>
      <c r="G130" s="76"/>
      <c r="H130" s="76"/>
      <c r="I130" s="76"/>
    </row>
    <row r="131" spans="2:9" x14ac:dyDescent="0.25">
      <c r="B131" s="76" t="s">
        <v>217</v>
      </c>
      <c r="C131" s="76" t="s">
        <v>264</v>
      </c>
      <c r="D131" s="76"/>
      <c r="E131" s="76">
        <v>0.13400000000000001</v>
      </c>
      <c r="F131" s="76">
        <v>2</v>
      </c>
      <c r="G131" s="76">
        <v>0.127</v>
      </c>
      <c r="H131" s="76">
        <v>8.9999999999999993E-3</v>
      </c>
      <c r="I131" s="76">
        <v>7.0519999999999996</v>
      </c>
    </row>
    <row r="132" spans="2:9" x14ac:dyDescent="0.25">
      <c r="B132" s="76"/>
      <c r="C132" s="76" t="s">
        <v>265</v>
      </c>
      <c r="D132" s="76"/>
      <c r="E132" s="76">
        <v>0.121</v>
      </c>
      <c r="F132" s="76"/>
      <c r="G132" s="76"/>
      <c r="H132" s="76"/>
      <c r="I132" s="76"/>
    </row>
    <row r="133" spans="2:9" x14ac:dyDescent="0.25">
      <c r="B133" s="76" t="s">
        <v>98</v>
      </c>
      <c r="C133" s="76" t="s">
        <v>88</v>
      </c>
      <c r="D133" s="76">
        <v>0</v>
      </c>
      <c r="E133" s="76">
        <v>4.7E-2</v>
      </c>
      <c r="F133" s="76">
        <v>2</v>
      </c>
      <c r="G133" s="76">
        <v>4.7E-2</v>
      </c>
      <c r="H133" s="76">
        <v>0</v>
      </c>
      <c r="I133" s="76">
        <v>0.3</v>
      </c>
    </row>
    <row r="134" spans="2:9" x14ac:dyDescent="0.25">
      <c r="B134" s="76"/>
      <c r="C134" s="76" t="s">
        <v>89</v>
      </c>
      <c r="D134" s="76">
        <v>0</v>
      </c>
      <c r="E134" s="76">
        <v>4.7E-2</v>
      </c>
      <c r="F134" s="76"/>
      <c r="G134" s="76"/>
      <c r="H134" s="76"/>
      <c r="I134" s="76"/>
    </row>
    <row r="135" spans="2:9" x14ac:dyDescent="0.25">
      <c r="B135" s="76" t="s">
        <v>43</v>
      </c>
      <c r="C135" s="76" t="s">
        <v>91</v>
      </c>
      <c r="D135" s="76">
        <v>12.5</v>
      </c>
      <c r="E135" s="76">
        <v>5.6000000000000001E-2</v>
      </c>
      <c r="F135" s="76">
        <v>2</v>
      </c>
      <c r="G135" s="76">
        <v>6.2E-2</v>
      </c>
      <c r="H135" s="76">
        <v>8.9999999999999993E-3</v>
      </c>
      <c r="I135" s="76">
        <v>14.38</v>
      </c>
    </row>
    <row r="136" spans="2:9" x14ac:dyDescent="0.25">
      <c r="B136" s="76"/>
      <c r="C136" s="76" t="s">
        <v>90</v>
      </c>
      <c r="D136" s="76">
        <v>12.5</v>
      </c>
      <c r="E136" s="76">
        <v>6.9000000000000006E-2</v>
      </c>
      <c r="F136" s="76"/>
      <c r="G136" s="76"/>
      <c r="H136" s="76"/>
      <c r="I136" s="76"/>
    </row>
    <row r="137" spans="2:9" x14ac:dyDescent="0.25">
      <c r="B137" s="76" t="s">
        <v>49</v>
      </c>
      <c r="C137" s="76" t="s">
        <v>92</v>
      </c>
      <c r="D137" s="76">
        <v>50</v>
      </c>
      <c r="E137" s="76">
        <v>9.1999999999999998E-2</v>
      </c>
      <c r="F137" s="76">
        <v>2</v>
      </c>
      <c r="G137" s="76">
        <v>9.5000000000000001E-2</v>
      </c>
      <c r="H137" s="76">
        <v>4.0000000000000001E-3</v>
      </c>
      <c r="I137" s="76">
        <v>3.9390000000000001</v>
      </c>
    </row>
    <row r="138" spans="2:9" x14ac:dyDescent="0.25">
      <c r="B138" s="76"/>
      <c r="C138" s="76" t="s">
        <v>93</v>
      </c>
      <c r="D138" s="76">
        <v>50</v>
      </c>
      <c r="E138" s="76">
        <v>9.8000000000000004E-2</v>
      </c>
      <c r="F138" s="76"/>
      <c r="G138" s="76"/>
      <c r="H138" s="76"/>
      <c r="I138" s="76"/>
    </row>
    <row r="139" spans="2:9" x14ac:dyDescent="0.25">
      <c r="B139" s="76" t="s">
        <v>102</v>
      </c>
      <c r="C139" s="76" t="s">
        <v>94</v>
      </c>
      <c r="D139" s="76">
        <v>100</v>
      </c>
      <c r="E139" s="76">
        <v>0.14399999999999999</v>
      </c>
      <c r="F139" s="76">
        <v>2</v>
      </c>
      <c r="G139" s="76">
        <v>0.14499999999999999</v>
      </c>
      <c r="H139" s="76">
        <v>2E-3</v>
      </c>
      <c r="I139" s="76">
        <v>1.702</v>
      </c>
    </row>
    <row r="140" spans="2:9" x14ac:dyDescent="0.25">
      <c r="B140" s="76"/>
      <c r="C140" s="76" t="s">
        <v>95</v>
      </c>
      <c r="D140" s="76">
        <v>100</v>
      </c>
      <c r="E140" s="76">
        <v>0.14699999999999999</v>
      </c>
      <c r="F140" s="76"/>
      <c r="G140" s="76"/>
      <c r="H140" s="76"/>
      <c r="I140" s="76"/>
    </row>
    <row r="141" spans="2:9" x14ac:dyDescent="0.25">
      <c r="B141" s="76" t="s">
        <v>55</v>
      </c>
      <c r="C141" s="76" t="s">
        <v>66</v>
      </c>
      <c r="D141" s="76">
        <v>150</v>
      </c>
      <c r="E141" s="76">
        <v>0.182</v>
      </c>
      <c r="F141" s="76">
        <v>2</v>
      </c>
      <c r="G141" s="76">
        <v>0.192</v>
      </c>
      <c r="H141" s="76">
        <v>1.2999999999999999E-2</v>
      </c>
      <c r="I141" s="76">
        <v>6.931</v>
      </c>
    </row>
    <row r="142" spans="2:9" x14ac:dyDescent="0.25">
      <c r="B142" s="76"/>
      <c r="C142" s="76" t="s">
        <v>67</v>
      </c>
      <c r="D142" s="76">
        <v>150</v>
      </c>
      <c r="E142" s="76">
        <v>0.20100000000000001</v>
      </c>
      <c r="F142" s="76"/>
      <c r="G142" s="76"/>
      <c r="H142" s="76"/>
      <c r="I142" s="76"/>
    </row>
    <row r="143" spans="2:9" x14ac:dyDescent="0.25">
      <c r="B143" s="76" t="s">
        <v>134</v>
      </c>
      <c r="C143" s="76" t="s">
        <v>68</v>
      </c>
      <c r="D143" s="76">
        <v>200</v>
      </c>
      <c r="E143" s="76">
        <v>0.24099999999999999</v>
      </c>
      <c r="F143" s="76">
        <v>2</v>
      </c>
      <c r="G143" s="76">
        <v>0.252</v>
      </c>
      <c r="H143" s="76">
        <v>1.4999999999999999E-2</v>
      </c>
      <c r="I143" s="76">
        <v>6.0049999999999999</v>
      </c>
    </row>
    <row r="144" spans="2:9" x14ac:dyDescent="0.25">
      <c r="B144" s="76"/>
      <c r="C144" s="76" t="s">
        <v>69</v>
      </c>
      <c r="D144" s="76">
        <v>200</v>
      </c>
      <c r="E144" s="76">
        <v>0.26300000000000001</v>
      </c>
      <c r="F144" s="76"/>
      <c r="G144" s="76"/>
      <c r="H144" s="76"/>
      <c r="I144" s="76"/>
    </row>
    <row r="146" spans="1:2" x14ac:dyDescent="0.25">
      <c r="A146" s="63" t="s">
        <v>104</v>
      </c>
      <c r="B146" s="64"/>
    </row>
    <row r="181" spans="1:10" ht="26.4" x14ac:dyDescent="0.25">
      <c r="A181" s="63" t="s">
        <v>105</v>
      </c>
      <c r="B181" s="64"/>
    </row>
    <row r="183" spans="1:10" ht="26.4" x14ac:dyDescent="0.25">
      <c r="B183" s="66" t="s">
        <v>106</v>
      </c>
      <c r="C183" s="66" t="s">
        <v>107</v>
      </c>
      <c r="D183" s="66" t="s">
        <v>35</v>
      </c>
      <c r="E183" s="66" t="s">
        <v>41</v>
      </c>
      <c r="F183" s="66" t="s">
        <v>108</v>
      </c>
      <c r="G183" s="66" t="s">
        <v>109</v>
      </c>
    </row>
    <row r="184" spans="1:10" x14ac:dyDescent="0.25">
      <c r="B184" s="76" t="s">
        <v>104</v>
      </c>
      <c r="C184" s="76" t="s">
        <v>110</v>
      </c>
      <c r="D184" s="76">
        <v>1E-3</v>
      </c>
      <c r="E184" s="76">
        <v>4.6800000000000001E-2</v>
      </c>
      <c r="F184" s="76">
        <v>0.998</v>
      </c>
      <c r="G184" s="76" t="s">
        <v>99</v>
      </c>
    </row>
    <row r="186" spans="1:10" x14ac:dyDescent="0.25">
      <c r="A186" s="63" t="s">
        <v>111</v>
      </c>
      <c r="B186" s="64"/>
    </row>
    <row r="187" spans="1:10" x14ac:dyDescent="0.25">
      <c r="A187" s="60" t="s">
        <v>59</v>
      </c>
      <c r="B187" s="60">
        <v>26.9</v>
      </c>
    </row>
    <row r="189" spans="1:10" ht="26.4" x14ac:dyDescent="0.25">
      <c r="B189" s="66" t="s">
        <v>39</v>
      </c>
      <c r="C189" s="66" t="s">
        <v>60</v>
      </c>
      <c r="D189" s="66" t="s">
        <v>40</v>
      </c>
      <c r="E189" s="66">
        <v>500</v>
      </c>
      <c r="F189" s="66" t="s">
        <v>111</v>
      </c>
      <c r="G189" s="66" t="s">
        <v>61</v>
      </c>
      <c r="H189" s="66" t="s">
        <v>4</v>
      </c>
      <c r="I189" s="66" t="s">
        <v>62</v>
      </c>
      <c r="J189" s="66" t="s">
        <v>63</v>
      </c>
    </row>
    <row r="190" spans="1:10" x14ac:dyDescent="0.25">
      <c r="B190" s="76" t="s">
        <v>36</v>
      </c>
      <c r="C190" s="76" t="s">
        <v>64</v>
      </c>
      <c r="D190" s="76"/>
      <c r="E190" s="76">
        <v>5.1999999999999998E-2</v>
      </c>
      <c r="F190" s="76">
        <v>4.798</v>
      </c>
      <c r="G190" s="76">
        <v>1</v>
      </c>
      <c r="H190" s="76">
        <v>4.798</v>
      </c>
      <c r="I190" s="76" t="s">
        <v>99</v>
      </c>
      <c r="J190" s="76" t="s">
        <v>99</v>
      </c>
    </row>
    <row r="191" spans="1:10" x14ac:dyDescent="0.25">
      <c r="B191" s="76"/>
      <c r="C191" s="76" t="s">
        <v>65</v>
      </c>
      <c r="D191" s="76"/>
      <c r="E191" s="76">
        <v>4.2999999999999997E-2</v>
      </c>
      <c r="F191" s="76" t="s">
        <v>112</v>
      </c>
      <c r="G191" s="76"/>
      <c r="H191" s="76"/>
      <c r="I191" s="76"/>
      <c r="J191" s="76"/>
    </row>
    <row r="192" spans="1:10" x14ac:dyDescent="0.25">
      <c r="B192" s="76" t="s">
        <v>44</v>
      </c>
      <c r="C192" s="76" t="s">
        <v>70</v>
      </c>
      <c r="D192" s="76"/>
      <c r="E192" s="76">
        <v>0.193</v>
      </c>
      <c r="F192" s="76">
        <v>145.983</v>
      </c>
      <c r="G192" s="76">
        <v>2</v>
      </c>
      <c r="H192" s="76">
        <v>141.68899999999999</v>
      </c>
      <c r="I192" s="76">
        <v>6.0720000000000001</v>
      </c>
      <c r="J192" s="76">
        <v>4.2850000000000001</v>
      </c>
    </row>
    <row r="193" spans="2:10" x14ac:dyDescent="0.25">
      <c r="B193" s="76"/>
      <c r="C193" s="76" t="s">
        <v>71</v>
      </c>
      <c r="D193" s="76"/>
      <c r="E193" s="76">
        <v>0.184</v>
      </c>
      <c r="F193" s="76">
        <v>137.39599999999999</v>
      </c>
      <c r="G193" s="76"/>
      <c r="H193" s="76"/>
      <c r="I193" s="76"/>
      <c r="J193" s="76"/>
    </row>
    <row r="194" spans="2:10" x14ac:dyDescent="0.25">
      <c r="B194" s="76" t="s">
        <v>50</v>
      </c>
      <c r="C194" s="76" t="s">
        <v>72</v>
      </c>
      <c r="D194" s="76"/>
      <c r="E194" s="76">
        <v>0.13800000000000001</v>
      </c>
      <c r="F194" s="76">
        <v>91.165999999999997</v>
      </c>
      <c r="G194" s="76">
        <v>2</v>
      </c>
      <c r="H194" s="76">
        <v>95.858999999999995</v>
      </c>
      <c r="I194" s="76">
        <v>6.6369999999999996</v>
      </c>
      <c r="J194" s="76">
        <v>6.923</v>
      </c>
    </row>
    <row r="195" spans="2:10" x14ac:dyDescent="0.25">
      <c r="B195" s="76"/>
      <c r="C195" s="76" t="s">
        <v>73</v>
      </c>
      <c r="D195" s="76"/>
      <c r="E195" s="76">
        <v>0.14699999999999999</v>
      </c>
      <c r="F195" s="76">
        <v>100.55200000000001</v>
      </c>
      <c r="G195" s="76"/>
      <c r="H195" s="76"/>
      <c r="I195" s="76"/>
      <c r="J195" s="76"/>
    </row>
    <row r="196" spans="2:10" x14ac:dyDescent="0.25">
      <c r="B196" s="76" t="s">
        <v>56</v>
      </c>
      <c r="C196" s="76" t="s">
        <v>74</v>
      </c>
      <c r="D196" s="76"/>
      <c r="E196" s="76">
        <v>8.6999999999999994E-2</v>
      </c>
      <c r="F196" s="76">
        <v>40.043999999999997</v>
      </c>
      <c r="G196" s="76">
        <v>2</v>
      </c>
      <c r="H196" s="76">
        <v>42.091000000000001</v>
      </c>
      <c r="I196" s="76">
        <v>2.895</v>
      </c>
      <c r="J196" s="76">
        <v>6.8769999999999998</v>
      </c>
    </row>
    <row r="197" spans="2:10" x14ac:dyDescent="0.25">
      <c r="B197" s="76"/>
      <c r="C197" s="76" t="s">
        <v>75</v>
      </c>
      <c r="D197" s="76"/>
      <c r="E197" s="76">
        <v>9.0999999999999998E-2</v>
      </c>
      <c r="F197" s="76">
        <v>44.137999999999998</v>
      </c>
      <c r="G197" s="76"/>
      <c r="H197" s="76"/>
      <c r="I197" s="76"/>
      <c r="J197" s="76"/>
    </row>
    <row r="198" spans="2:10" x14ac:dyDescent="0.25">
      <c r="B198" s="76" t="s">
        <v>37</v>
      </c>
      <c r="C198" s="76" t="s">
        <v>76</v>
      </c>
      <c r="D198" s="76"/>
      <c r="E198" s="76">
        <v>0.153</v>
      </c>
      <c r="F198" s="76">
        <v>106.044</v>
      </c>
      <c r="G198" s="76">
        <v>2</v>
      </c>
      <c r="H198" s="76">
        <v>98.355000000000004</v>
      </c>
      <c r="I198" s="76">
        <v>10.872999999999999</v>
      </c>
      <c r="J198" s="76">
        <v>11.055</v>
      </c>
    </row>
    <row r="199" spans="2:10" x14ac:dyDescent="0.25">
      <c r="B199" s="76"/>
      <c r="C199" s="76" t="s">
        <v>77</v>
      </c>
      <c r="D199" s="76"/>
      <c r="E199" s="76">
        <v>0.13800000000000001</v>
      </c>
      <c r="F199" s="76">
        <v>90.667000000000002</v>
      </c>
      <c r="G199" s="76"/>
      <c r="H199" s="76"/>
      <c r="I199" s="76"/>
      <c r="J199" s="76"/>
    </row>
    <row r="200" spans="2:10" x14ac:dyDescent="0.25">
      <c r="B200" s="76" t="s">
        <v>45</v>
      </c>
      <c r="C200" s="76" t="s">
        <v>78</v>
      </c>
      <c r="D200" s="76"/>
      <c r="E200" s="76">
        <v>0.105</v>
      </c>
      <c r="F200" s="76">
        <v>58.116999999999997</v>
      </c>
      <c r="G200" s="76">
        <v>2</v>
      </c>
      <c r="H200" s="76">
        <v>57.218000000000004</v>
      </c>
      <c r="I200" s="76">
        <v>1.2709999999999999</v>
      </c>
      <c r="J200" s="76">
        <v>2.2210000000000001</v>
      </c>
    </row>
    <row r="201" spans="2:10" x14ac:dyDescent="0.25">
      <c r="B201" s="76"/>
      <c r="C201" s="76" t="s">
        <v>79</v>
      </c>
      <c r="D201" s="76"/>
      <c r="E201" s="76">
        <v>0.10299999999999999</v>
      </c>
      <c r="F201" s="76">
        <v>56.319000000000003</v>
      </c>
      <c r="G201" s="76"/>
      <c r="H201" s="76"/>
      <c r="I201" s="76"/>
      <c r="J201" s="76"/>
    </row>
    <row r="202" spans="2:10" x14ac:dyDescent="0.25">
      <c r="B202" s="76" t="s">
        <v>51</v>
      </c>
      <c r="C202" s="76" t="s">
        <v>80</v>
      </c>
      <c r="D202" s="76"/>
      <c r="E202" s="76">
        <v>0.115</v>
      </c>
      <c r="F202" s="76">
        <v>68.301000000000002</v>
      </c>
      <c r="G202" s="76">
        <v>2</v>
      </c>
      <c r="H202" s="76">
        <v>67.602000000000004</v>
      </c>
      <c r="I202" s="76">
        <v>0.98799999999999999</v>
      </c>
      <c r="J202" s="76">
        <v>1.462</v>
      </c>
    </row>
    <row r="203" spans="2:10" x14ac:dyDescent="0.25">
      <c r="B203" s="76"/>
      <c r="C203" s="76" t="s">
        <v>81</v>
      </c>
      <c r="D203" s="76"/>
      <c r="E203" s="76">
        <v>0.114</v>
      </c>
      <c r="F203" s="76">
        <v>66.903000000000006</v>
      </c>
      <c r="G203" s="76"/>
      <c r="H203" s="76"/>
      <c r="I203" s="76"/>
      <c r="J203" s="76"/>
    </row>
    <row r="204" spans="2:10" x14ac:dyDescent="0.25">
      <c r="B204" s="76" t="s">
        <v>57</v>
      </c>
      <c r="C204" s="76" t="s">
        <v>82</v>
      </c>
      <c r="D204" s="76"/>
      <c r="E204" s="76">
        <v>0.154</v>
      </c>
      <c r="F204" s="76">
        <v>107.342</v>
      </c>
      <c r="G204" s="76">
        <v>2</v>
      </c>
      <c r="H204" s="76">
        <v>109.18899999999999</v>
      </c>
      <c r="I204" s="76">
        <v>2.6120000000000001</v>
      </c>
      <c r="J204" s="76">
        <v>2.3919999999999999</v>
      </c>
    </row>
    <row r="205" spans="2:10" x14ac:dyDescent="0.25">
      <c r="B205" s="76"/>
      <c r="C205" s="76" t="s">
        <v>83</v>
      </c>
      <c r="D205" s="76"/>
      <c r="E205" s="76">
        <v>0.158</v>
      </c>
      <c r="F205" s="76">
        <v>111.036</v>
      </c>
      <c r="G205" s="76"/>
      <c r="H205" s="76"/>
      <c r="I205" s="76"/>
      <c r="J205" s="76"/>
    </row>
    <row r="206" spans="2:10" x14ac:dyDescent="0.25">
      <c r="B206" s="76" t="s">
        <v>38</v>
      </c>
      <c r="C206" s="76" t="s">
        <v>84</v>
      </c>
      <c r="D206" s="76"/>
      <c r="E206" s="76">
        <v>8.3000000000000004E-2</v>
      </c>
      <c r="F206" s="76">
        <v>35.850999999999999</v>
      </c>
      <c r="G206" s="76">
        <v>2</v>
      </c>
      <c r="H206" s="76">
        <v>64.456999999999994</v>
      </c>
      <c r="I206" s="76">
        <v>40.456000000000003</v>
      </c>
      <c r="J206" s="76">
        <v>62.764000000000003</v>
      </c>
    </row>
    <row r="207" spans="2:10" x14ac:dyDescent="0.25">
      <c r="B207" s="76"/>
      <c r="C207" s="76" t="s">
        <v>85</v>
      </c>
      <c r="D207" s="76"/>
      <c r="E207" s="76">
        <v>0.14000000000000001</v>
      </c>
      <c r="F207" s="76">
        <v>93.063000000000002</v>
      </c>
      <c r="G207" s="76"/>
      <c r="H207" s="76"/>
      <c r="I207" s="76"/>
      <c r="J207" s="76"/>
    </row>
    <row r="208" spans="2:10" x14ac:dyDescent="0.25">
      <c r="B208" s="76" t="s">
        <v>46</v>
      </c>
      <c r="C208" s="76" t="s">
        <v>86</v>
      </c>
      <c r="D208" s="76"/>
      <c r="E208" s="76">
        <v>0.23100000000000001</v>
      </c>
      <c r="F208" s="76">
        <v>183.82499999999999</v>
      </c>
      <c r="G208" s="76">
        <v>2</v>
      </c>
      <c r="H208" s="76">
        <v>180.23099999999999</v>
      </c>
      <c r="I208" s="76">
        <v>5.0830000000000002</v>
      </c>
      <c r="J208" s="76">
        <v>2.8210000000000002</v>
      </c>
    </row>
    <row r="209" spans="2:10" x14ac:dyDescent="0.25">
      <c r="B209" s="76"/>
      <c r="C209" s="76" t="s">
        <v>87</v>
      </c>
      <c r="D209" s="76"/>
      <c r="E209" s="76">
        <v>0.224</v>
      </c>
      <c r="F209" s="76">
        <v>176.636</v>
      </c>
      <c r="G209" s="76"/>
      <c r="H209" s="76"/>
      <c r="I209" s="76"/>
      <c r="J209" s="76"/>
    </row>
    <row r="210" spans="2:10" x14ac:dyDescent="0.25">
      <c r="B210" s="76" t="s">
        <v>52</v>
      </c>
      <c r="C210" s="76" t="s">
        <v>139</v>
      </c>
      <c r="D210" s="76"/>
      <c r="E210" s="76">
        <v>8.6999999999999994E-2</v>
      </c>
      <c r="F210" s="76">
        <v>40.244</v>
      </c>
      <c r="G210" s="76">
        <v>2</v>
      </c>
      <c r="H210" s="76">
        <v>40.043999999999997</v>
      </c>
      <c r="I210" s="76">
        <v>0.28199999999999997</v>
      </c>
      <c r="J210" s="76">
        <v>0.70499999999999996</v>
      </c>
    </row>
    <row r="211" spans="2:10" x14ac:dyDescent="0.25">
      <c r="B211" s="76"/>
      <c r="C211" s="76" t="s">
        <v>140</v>
      </c>
      <c r="D211" s="76"/>
      <c r="E211" s="76">
        <v>8.6999999999999994E-2</v>
      </c>
      <c r="F211" s="76">
        <v>39.844000000000001</v>
      </c>
      <c r="G211" s="76"/>
      <c r="H211" s="76"/>
      <c r="I211" s="76"/>
      <c r="J211" s="76"/>
    </row>
    <row r="212" spans="2:10" x14ac:dyDescent="0.25">
      <c r="B212" s="76" t="s">
        <v>132</v>
      </c>
      <c r="C212" s="76" t="s">
        <v>141</v>
      </c>
      <c r="D212" s="76"/>
      <c r="E212" s="76">
        <v>0.14799999999999999</v>
      </c>
      <c r="F212" s="76">
        <v>101.051</v>
      </c>
      <c r="G212" s="76">
        <v>2</v>
      </c>
      <c r="H212" s="76">
        <v>120.52200000000001</v>
      </c>
      <c r="I212" s="76">
        <v>27.535</v>
      </c>
      <c r="J212" s="76">
        <v>22.847000000000001</v>
      </c>
    </row>
    <row r="213" spans="2:10" x14ac:dyDescent="0.25">
      <c r="B213" s="76"/>
      <c r="C213" s="76" t="s">
        <v>142</v>
      </c>
      <c r="D213" s="76"/>
      <c r="E213" s="76">
        <v>0.187</v>
      </c>
      <c r="F213" s="76">
        <v>139.99199999999999</v>
      </c>
      <c r="G213" s="76"/>
      <c r="H213" s="76"/>
      <c r="I213" s="76"/>
      <c r="J213" s="76"/>
    </row>
    <row r="214" spans="2:10" x14ac:dyDescent="0.25">
      <c r="B214" s="76" t="s">
        <v>135</v>
      </c>
      <c r="C214" s="76" t="s">
        <v>143</v>
      </c>
      <c r="D214" s="76"/>
      <c r="E214" s="76">
        <v>0.155</v>
      </c>
      <c r="F214" s="76">
        <v>107.84099999999999</v>
      </c>
      <c r="G214" s="76">
        <v>2</v>
      </c>
      <c r="H214" s="76">
        <v>122.01900000000001</v>
      </c>
      <c r="I214" s="76">
        <v>20.050999999999998</v>
      </c>
      <c r="J214" s="76">
        <v>16.433</v>
      </c>
    </row>
    <row r="215" spans="2:10" x14ac:dyDescent="0.25">
      <c r="B215" s="76"/>
      <c r="C215" s="76" t="s">
        <v>144</v>
      </c>
      <c r="D215" s="76"/>
      <c r="E215" s="76">
        <v>0.183</v>
      </c>
      <c r="F215" s="76">
        <v>136.19800000000001</v>
      </c>
      <c r="G215" s="76"/>
      <c r="H215" s="76"/>
      <c r="I215" s="76"/>
      <c r="J215" s="76"/>
    </row>
    <row r="216" spans="2:10" x14ac:dyDescent="0.25">
      <c r="B216" s="76" t="s">
        <v>137</v>
      </c>
      <c r="C216" s="76" t="s">
        <v>145</v>
      </c>
      <c r="D216" s="76"/>
      <c r="E216" s="76">
        <v>9.1999999999999998E-2</v>
      </c>
      <c r="F216" s="76">
        <v>45.335999999999999</v>
      </c>
      <c r="G216" s="76">
        <v>2</v>
      </c>
      <c r="H216" s="76">
        <v>46.335000000000001</v>
      </c>
      <c r="I216" s="76">
        <v>1.4119999999999999</v>
      </c>
      <c r="J216" s="76">
        <v>3.048</v>
      </c>
    </row>
    <row r="217" spans="2:10" x14ac:dyDescent="0.25">
      <c r="B217" s="76"/>
      <c r="C217" s="76" t="s">
        <v>146</v>
      </c>
      <c r="D217" s="76"/>
      <c r="E217" s="76">
        <v>9.4E-2</v>
      </c>
      <c r="F217" s="76">
        <v>47.332999999999998</v>
      </c>
      <c r="G217" s="76"/>
      <c r="H217" s="76"/>
      <c r="I217" s="76"/>
      <c r="J217" s="76"/>
    </row>
    <row r="218" spans="2:10" x14ac:dyDescent="0.25">
      <c r="B218" s="76" t="s">
        <v>131</v>
      </c>
      <c r="C218" s="76" t="s">
        <v>147</v>
      </c>
      <c r="D218" s="76"/>
      <c r="E218" s="76">
        <v>0.19400000000000001</v>
      </c>
      <c r="F218" s="76">
        <v>146.482</v>
      </c>
      <c r="G218" s="76">
        <v>2</v>
      </c>
      <c r="H218" s="76">
        <v>159.96100000000001</v>
      </c>
      <c r="I218" s="76">
        <v>19.062999999999999</v>
      </c>
      <c r="J218" s="76">
        <v>11.917</v>
      </c>
    </row>
    <row r="219" spans="2:10" x14ac:dyDescent="0.25">
      <c r="B219" s="76"/>
      <c r="C219" s="76" t="s">
        <v>148</v>
      </c>
      <c r="D219" s="76"/>
      <c r="E219" s="76">
        <v>0.221</v>
      </c>
      <c r="F219" s="76">
        <v>173.441</v>
      </c>
      <c r="G219" s="76"/>
      <c r="H219" s="76"/>
      <c r="I219" s="76"/>
      <c r="J219" s="76"/>
    </row>
    <row r="220" spans="2:10" x14ac:dyDescent="0.25">
      <c r="B220" s="76" t="s">
        <v>133</v>
      </c>
      <c r="C220" s="76" t="s">
        <v>149</v>
      </c>
      <c r="D220" s="76"/>
      <c r="E220" s="76">
        <v>0.10299999999999999</v>
      </c>
      <c r="F220" s="76">
        <v>55.92</v>
      </c>
      <c r="G220" s="76">
        <v>2</v>
      </c>
      <c r="H220" s="76">
        <v>57.368000000000002</v>
      </c>
      <c r="I220" s="76">
        <v>2.0470000000000002</v>
      </c>
      <c r="J220" s="76">
        <v>3.569</v>
      </c>
    </row>
    <row r="221" spans="2:10" x14ac:dyDescent="0.25">
      <c r="B221" s="76"/>
      <c r="C221" s="76" t="s">
        <v>150</v>
      </c>
      <c r="D221" s="76"/>
      <c r="E221" s="76">
        <v>0.106</v>
      </c>
      <c r="F221" s="76">
        <v>58.816000000000003</v>
      </c>
      <c r="G221" s="76"/>
      <c r="H221" s="76"/>
      <c r="I221" s="76"/>
      <c r="J221" s="76"/>
    </row>
    <row r="222" spans="2:10" x14ac:dyDescent="0.25">
      <c r="B222" s="76" t="s">
        <v>136</v>
      </c>
      <c r="C222" s="76" t="s">
        <v>151</v>
      </c>
      <c r="D222" s="76"/>
      <c r="E222" s="76">
        <v>9.6000000000000002E-2</v>
      </c>
      <c r="F222" s="76">
        <v>49.43</v>
      </c>
      <c r="G222" s="76">
        <v>2</v>
      </c>
      <c r="H222" s="76">
        <v>51.676000000000002</v>
      </c>
      <c r="I222" s="76">
        <v>3.177</v>
      </c>
      <c r="J222" s="76">
        <v>6.1479999999999997</v>
      </c>
    </row>
    <row r="223" spans="2:10" x14ac:dyDescent="0.25">
      <c r="B223" s="76"/>
      <c r="C223" s="76" t="s">
        <v>152</v>
      </c>
      <c r="D223" s="76"/>
      <c r="E223" s="76">
        <v>0.10100000000000001</v>
      </c>
      <c r="F223" s="76">
        <v>53.923000000000002</v>
      </c>
      <c r="G223" s="76"/>
      <c r="H223" s="76"/>
      <c r="I223" s="76"/>
      <c r="J223" s="76"/>
    </row>
    <row r="224" spans="2:10" x14ac:dyDescent="0.25">
      <c r="B224" s="76" t="s">
        <v>138</v>
      </c>
      <c r="C224" s="76" t="s">
        <v>153</v>
      </c>
      <c r="D224" s="76"/>
      <c r="E224" s="76">
        <v>9.2999999999999999E-2</v>
      </c>
      <c r="F224" s="76">
        <v>45.835000000000001</v>
      </c>
      <c r="G224" s="76">
        <v>2</v>
      </c>
      <c r="H224" s="76">
        <v>46.134999999999998</v>
      </c>
      <c r="I224" s="76">
        <v>0.42399999999999999</v>
      </c>
      <c r="J224" s="76">
        <v>0.91800000000000004</v>
      </c>
    </row>
    <row r="225" spans="2:10" x14ac:dyDescent="0.25">
      <c r="B225" s="76"/>
      <c r="C225" s="76" t="s">
        <v>154</v>
      </c>
      <c r="D225" s="76"/>
      <c r="E225" s="76">
        <v>9.2999999999999999E-2</v>
      </c>
      <c r="F225" s="76">
        <v>46.433999999999997</v>
      </c>
      <c r="G225" s="76"/>
      <c r="H225" s="76"/>
      <c r="I225" s="76"/>
      <c r="J225" s="76"/>
    </row>
    <row r="226" spans="2:10" x14ac:dyDescent="0.25">
      <c r="B226" s="76" t="s">
        <v>194</v>
      </c>
      <c r="C226" s="76" t="s">
        <v>218</v>
      </c>
      <c r="D226" s="76"/>
      <c r="E226" s="76">
        <v>0.13200000000000001</v>
      </c>
      <c r="F226" s="76">
        <v>84.676000000000002</v>
      </c>
      <c r="G226" s="76">
        <v>2</v>
      </c>
      <c r="H226" s="76">
        <v>88.87</v>
      </c>
      <c r="I226" s="76">
        <v>5.931</v>
      </c>
      <c r="J226" s="76">
        <v>6.673</v>
      </c>
    </row>
    <row r="227" spans="2:10" x14ac:dyDescent="0.25">
      <c r="B227" s="76"/>
      <c r="C227" s="76" t="s">
        <v>219</v>
      </c>
      <c r="D227" s="76"/>
      <c r="E227" s="76">
        <v>0.14000000000000001</v>
      </c>
      <c r="F227" s="76">
        <v>93.063000000000002</v>
      </c>
      <c r="G227" s="76"/>
      <c r="H227" s="76"/>
      <c r="I227" s="76"/>
      <c r="J227" s="76"/>
    </row>
    <row r="228" spans="2:10" x14ac:dyDescent="0.25">
      <c r="B228" s="76" t="s">
        <v>200</v>
      </c>
      <c r="C228" s="76" t="s">
        <v>220</v>
      </c>
      <c r="D228" s="76"/>
      <c r="E228" s="76">
        <v>0.221</v>
      </c>
      <c r="F228" s="76">
        <v>173.541</v>
      </c>
      <c r="G228" s="76">
        <v>2</v>
      </c>
      <c r="H228" s="76">
        <v>175.18799999999999</v>
      </c>
      <c r="I228" s="76">
        <v>2.33</v>
      </c>
      <c r="J228" s="76">
        <v>1.33</v>
      </c>
    </row>
    <row r="229" spans="2:10" x14ac:dyDescent="0.25">
      <c r="B229" s="76"/>
      <c r="C229" s="76" t="s">
        <v>221</v>
      </c>
      <c r="D229" s="76"/>
      <c r="E229" s="76">
        <v>0.224</v>
      </c>
      <c r="F229" s="76">
        <v>176.83600000000001</v>
      </c>
      <c r="G229" s="76"/>
      <c r="H229" s="76"/>
      <c r="I229" s="76"/>
      <c r="J229" s="76"/>
    </row>
    <row r="230" spans="2:10" x14ac:dyDescent="0.25">
      <c r="B230" s="76" t="s">
        <v>206</v>
      </c>
      <c r="C230" s="76" t="s">
        <v>222</v>
      </c>
      <c r="D230" s="76"/>
      <c r="E230" s="76">
        <v>6.0999999999999999E-2</v>
      </c>
      <c r="F230" s="76">
        <v>14.683</v>
      </c>
      <c r="G230" s="76">
        <v>2</v>
      </c>
      <c r="H230" s="76">
        <v>15.481999999999999</v>
      </c>
      <c r="I230" s="76">
        <v>1.1299999999999999</v>
      </c>
      <c r="J230" s="76">
        <v>7.2969999999999997</v>
      </c>
    </row>
    <row r="231" spans="2:10" x14ac:dyDescent="0.25">
      <c r="B231" s="76"/>
      <c r="C231" s="76" t="s">
        <v>223</v>
      </c>
      <c r="D231" s="76"/>
      <c r="E231" s="76">
        <v>6.3E-2</v>
      </c>
      <c r="F231" s="76">
        <v>16.28</v>
      </c>
      <c r="G231" s="76"/>
      <c r="H231" s="76"/>
      <c r="I231" s="76"/>
      <c r="J231" s="76"/>
    </row>
    <row r="232" spans="2:10" x14ac:dyDescent="0.25">
      <c r="B232" s="76" t="s">
        <v>212</v>
      </c>
      <c r="C232" s="76" t="s">
        <v>224</v>
      </c>
      <c r="D232" s="76"/>
      <c r="E232" s="76">
        <v>8.8999999999999996E-2</v>
      </c>
      <c r="F232" s="76">
        <v>42.341000000000001</v>
      </c>
      <c r="G232" s="76">
        <v>2</v>
      </c>
      <c r="H232" s="76">
        <v>43.04</v>
      </c>
      <c r="I232" s="76">
        <v>0.98799999999999999</v>
      </c>
      <c r="J232" s="76">
        <v>2.2970000000000002</v>
      </c>
    </row>
    <row r="233" spans="2:10" x14ac:dyDescent="0.25">
      <c r="B233" s="76"/>
      <c r="C233" s="76" t="s">
        <v>225</v>
      </c>
      <c r="D233" s="76"/>
      <c r="E233" s="76">
        <v>9.0999999999999998E-2</v>
      </c>
      <c r="F233" s="76">
        <v>43.738999999999997</v>
      </c>
      <c r="G233" s="76"/>
      <c r="H233" s="76"/>
      <c r="I233" s="76"/>
      <c r="J233" s="76"/>
    </row>
    <row r="234" spans="2:10" x14ac:dyDescent="0.25">
      <c r="B234" s="76" t="s">
        <v>195</v>
      </c>
      <c r="C234" s="76" t="s">
        <v>226</v>
      </c>
      <c r="D234" s="76"/>
      <c r="E234" s="76">
        <v>8.7999999999999995E-2</v>
      </c>
      <c r="F234" s="76">
        <v>40.843000000000004</v>
      </c>
      <c r="G234" s="76">
        <v>2</v>
      </c>
      <c r="H234" s="76">
        <v>38.595999999999997</v>
      </c>
      <c r="I234" s="76">
        <v>3.177</v>
      </c>
      <c r="J234" s="76">
        <v>8.2319999999999993</v>
      </c>
    </row>
    <row r="235" spans="2:10" x14ac:dyDescent="0.25">
      <c r="B235" s="76"/>
      <c r="C235" s="76" t="s">
        <v>227</v>
      </c>
      <c r="D235" s="76"/>
      <c r="E235" s="76">
        <v>8.3000000000000004E-2</v>
      </c>
      <c r="F235" s="76">
        <v>36.35</v>
      </c>
      <c r="G235" s="76"/>
      <c r="H235" s="76"/>
      <c r="I235" s="76"/>
      <c r="J235" s="76"/>
    </row>
    <row r="236" spans="2:10" x14ac:dyDescent="0.25">
      <c r="B236" s="76" t="s">
        <v>201</v>
      </c>
      <c r="C236" s="76" t="s">
        <v>228</v>
      </c>
      <c r="D236" s="76"/>
      <c r="E236" s="76">
        <v>0.14499999999999999</v>
      </c>
      <c r="F236" s="76">
        <v>97.855999999999995</v>
      </c>
      <c r="G236" s="76">
        <v>2</v>
      </c>
      <c r="H236" s="76">
        <v>91.616</v>
      </c>
      <c r="I236" s="76">
        <v>8.8249999999999993</v>
      </c>
      <c r="J236" s="76">
        <v>9.6329999999999991</v>
      </c>
    </row>
    <row r="237" spans="2:10" x14ac:dyDescent="0.25">
      <c r="B237" s="76"/>
      <c r="C237" s="76" t="s">
        <v>229</v>
      </c>
      <c r="D237" s="76"/>
      <c r="E237" s="76">
        <v>0.13200000000000001</v>
      </c>
      <c r="F237" s="76">
        <v>85.375</v>
      </c>
      <c r="G237" s="76"/>
      <c r="H237" s="76"/>
      <c r="I237" s="76"/>
      <c r="J237" s="76"/>
    </row>
    <row r="238" spans="2:10" x14ac:dyDescent="0.25">
      <c r="B238" s="76" t="s">
        <v>207</v>
      </c>
      <c r="C238" s="76" t="s">
        <v>230</v>
      </c>
      <c r="D238" s="76"/>
      <c r="E238" s="76">
        <v>0.123</v>
      </c>
      <c r="F238" s="76">
        <v>75.89</v>
      </c>
      <c r="G238" s="76">
        <v>2</v>
      </c>
      <c r="H238" s="76">
        <v>82.828999999999994</v>
      </c>
      <c r="I238" s="76">
        <v>9.8140000000000001</v>
      </c>
      <c r="J238" s="76">
        <v>11.848000000000001</v>
      </c>
    </row>
    <row r="239" spans="2:10" x14ac:dyDescent="0.25">
      <c r="B239" s="76"/>
      <c r="C239" s="76" t="s">
        <v>231</v>
      </c>
      <c r="D239" s="76"/>
      <c r="E239" s="76">
        <v>0.13700000000000001</v>
      </c>
      <c r="F239" s="76">
        <v>89.768000000000001</v>
      </c>
      <c r="G239" s="76"/>
      <c r="H239" s="76"/>
      <c r="I239" s="76"/>
      <c r="J239" s="76"/>
    </row>
    <row r="240" spans="2:10" x14ac:dyDescent="0.25">
      <c r="B240" s="76" t="s">
        <v>213</v>
      </c>
      <c r="C240" s="76" t="s">
        <v>232</v>
      </c>
      <c r="D240" s="76"/>
      <c r="E240" s="76">
        <v>6.5000000000000002E-2</v>
      </c>
      <c r="F240" s="76">
        <v>18.077999999999999</v>
      </c>
      <c r="G240" s="76">
        <v>2</v>
      </c>
      <c r="H240" s="76">
        <v>16.978999999999999</v>
      </c>
      <c r="I240" s="76">
        <v>1.5529999999999999</v>
      </c>
      <c r="J240" s="76">
        <v>9.1479999999999997</v>
      </c>
    </row>
    <row r="241" spans="2:10" x14ac:dyDescent="0.25">
      <c r="B241" s="76"/>
      <c r="C241" s="76" t="s">
        <v>233</v>
      </c>
      <c r="D241" s="76"/>
      <c r="E241" s="76">
        <v>6.3E-2</v>
      </c>
      <c r="F241" s="76">
        <v>15.881</v>
      </c>
      <c r="G241" s="76"/>
      <c r="H241" s="76"/>
      <c r="I241" s="76"/>
      <c r="J241" s="76"/>
    </row>
    <row r="242" spans="2:10" x14ac:dyDescent="0.25">
      <c r="B242" s="76" t="s">
        <v>196</v>
      </c>
      <c r="C242" s="76" t="s">
        <v>234</v>
      </c>
      <c r="D242" s="76"/>
      <c r="E242" s="76">
        <v>9.4E-2</v>
      </c>
      <c r="F242" s="76">
        <v>47.533000000000001</v>
      </c>
      <c r="G242" s="76">
        <v>2</v>
      </c>
      <c r="H242" s="76">
        <v>46.884</v>
      </c>
      <c r="I242" s="76">
        <v>0.91800000000000004</v>
      </c>
      <c r="J242" s="76">
        <v>1.958</v>
      </c>
    </row>
    <row r="243" spans="2:10" x14ac:dyDescent="0.25">
      <c r="B243" s="76"/>
      <c r="C243" s="76" t="s">
        <v>235</v>
      </c>
      <c r="D243" s="76"/>
      <c r="E243" s="76">
        <v>9.2999999999999999E-2</v>
      </c>
      <c r="F243" s="76">
        <v>46.234999999999999</v>
      </c>
      <c r="G243" s="76"/>
      <c r="H243" s="76"/>
      <c r="I243" s="76"/>
      <c r="J243" s="76"/>
    </row>
    <row r="244" spans="2:10" x14ac:dyDescent="0.25">
      <c r="B244" s="76" t="s">
        <v>202</v>
      </c>
      <c r="C244" s="76" t="s">
        <v>236</v>
      </c>
      <c r="D244" s="76"/>
      <c r="E244" s="76">
        <v>6.3E-2</v>
      </c>
      <c r="F244" s="76">
        <v>16.48</v>
      </c>
      <c r="G244" s="76">
        <v>2</v>
      </c>
      <c r="H244" s="76">
        <v>17.728000000000002</v>
      </c>
      <c r="I244" s="76">
        <v>1.7649999999999999</v>
      </c>
      <c r="J244" s="76">
        <v>9.9559999999999995</v>
      </c>
    </row>
    <row r="245" spans="2:10" x14ac:dyDescent="0.25">
      <c r="B245" s="76"/>
      <c r="C245" s="76" t="s">
        <v>237</v>
      </c>
      <c r="D245" s="76"/>
      <c r="E245" s="76">
        <v>6.6000000000000003E-2</v>
      </c>
      <c r="F245" s="76">
        <v>18.975999999999999</v>
      </c>
      <c r="G245" s="76"/>
      <c r="H245" s="76"/>
      <c r="I245" s="76"/>
      <c r="J245" s="76"/>
    </row>
    <row r="246" spans="2:10" x14ac:dyDescent="0.25">
      <c r="B246" s="76" t="s">
        <v>208</v>
      </c>
      <c r="C246" s="76" t="s">
        <v>238</v>
      </c>
      <c r="D246" s="76"/>
      <c r="E246" s="76">
        <v>0.17499999999999999</v>
      </c>
      <c r="F246" s="76">
        <v>127.91</v>
      </c>
      <c r="G246" s="76">
        <v>2</v>
      </c>
      <c r="H246" s="76">
        <v>139.69200000000001</v>
      </c>
      <c r="I246" s="76">
        <v>16.661999999999999</v>
      </c>
      <c r="J246" s="76">
        <v>11.928000000000001</v>
      </c>
    </row>
    <row r="247" spans="2:10" x14ac:dyDescent="0.25">
      <c r="B247" s="76"/>
      <c r="C247" s="76" t="s">
        <v>239</v>
      </c>
      <c r="D247" s="76"/>
      <c r="E247" s="76">
        <v>0.19900000000000001</v>
      </c>
      <c r="F247" s="76">
        <v>151.47399999999999</v>
      </c>
      <c r="G247" s="76"/>
      <c r="H247" s="76"/>
      <c r="I247" s="76"/>
      <c r="J247" s="76"/>
    </row>
    <row r="248" spans="2:10" x14ac:dyDescent="0.25">
      <c r="B248" s="76" t="s">
        <v>214</v>
      </c>
      <c r="C248" s="76" t="s">
        <v>240</v>
      </c>
      <c r="D248" s="76"/>
      <c r="E248" s="76">
        <v>9.7000000000000003E-2</v>
      </c>
      <c r="F248" s="76">
        <v>49.929000000000002</v>
      </c>
      <c r="G248" s="76">
        <v>2</v>
      </c>
      <c r="H248" s="76">
        <v>50.478000000000002</v>
      </c>
      <c r="I248" s="76">
        <v>0.77700000000000002</v>
      </c>
      <c r="J248" s="76">
        <v>1.5389999999999999</v>
      </c>
    </row>
    <row r="249" spans="2:10" x14ac:dyDescent="0.25">
      <c r="B249" s="76"/>
      <c r="C249" s="76" t="s">
        <v>241</v>
      </c>
      <c r="D249" s="76"/>
      <c r="E249" s="76">
        <v>9.8000000000000004E-2</v>
      </c>
      <c r="F249" s="76">
        <v>51.027000000000001</v>
      </c>
      <c r="G249" s="76"/>
      <c r="H249" s="76"/>
      <c r="I249" s="76"/>
      <c r="J249" s="76"/>
    </row>
    <row r="250" spans="2:10" x14ac:dyDescent="0.25">
      <c r="B250" s="76" t="s">
        <v>197</v>
      </c>
      <c r="C250" s="76" t="s">
        <v>242</v>
      </c>
      <c r="D250" s="76"/>
      <c r="E250" s="76">
        <v>0.105</v>
      </c>
      <c r="F250" s="76">
        <v>58.116999999999997</v>
      </c>
      <c r="G250" s="76">
        <v>2</v>
      </c>
      <c r="H250" s="76">
        <v>49.13</v>
      </c>
      <c r="I250" s="76">
        <v>12.709</v>
      </c>
      <c r="J250" s="76">
        <v>25.867000000000001</v>
      </c>
    </row>
    <row r="251" spans="2:10" x14ac:dyDescent="0.25">
      <c r="B251" s="76"/>
      <c r="C251" s="76" t="s">
        <v>243</v>
      </c>
      <c r="D251" s="76"/>
      <c r="E251" s="76">
        <v>8.6999999999999994E-2</v>
      </c>
      <c r="F251" s="76">
        <v>40.143999999999998</v>
      </c>
      <c r="G251" s="76"/>
      <c r="H251" s="76"/>
      <c r="I251" s="76"/>
      <c r="J251" s="76"/>
    </row>
    <row r="252" spans="2:10" x14ac:dyDescent="0.25">
      <c r="B252" s="76" t="s">
        <v>203</v>
      </c>
      <c r="C252" s="76" t="s">
        <v>244</v>
      </c>
      <c r="D252" s="76"/>
      <c r="E252" s="76">
        <v>0.14899999999999999</v>
      </c>
      <c r="F252" s="76">
        <v>102.54900000000001</v>
      </c>
      <c r="G252" s="76">
        <v>2</v>
      </c>
      <c r="H252" s="76">
        <v>103.59699999999999</v>
      </c>
      <c r="I252" s="76">
        <v>1.4830000000000001</v>
      </c>
      <c r="J252" s="76">
        <v>1.431</v>
      </c>
    </row>
    <row r="253" spans="2:10" x14ac:dyDescent="0.25">
      <c r="B253" s="76"/>
      <c r="C253" s="76" t="s">
        <v>245</v>
      </c>
      <c r="D253" s="76"/>
      <c r="E253" s="76">
        <v>0.152</v>
      </c>
      <c r="F253" s="76">
        <v>104.646</v>
      </c>
      <c r="G253" s="76"/>
      <c r="H253" s="76"/>
      <c r="I253" s="76"/>
      <c r="J253" s="76"/>
    </row>
    <row r="254" spans="2:10" x14ac:dyDescent="0.25">
      <c r="B254" s="76" t="s">
        <v>209</v>
      </c>
      <c r="C254" s="76" t="s">
        <v>246</v>
      </c>
      <c r="D254" s="76"/>
      <c r="E254" s="76">
        <v>0.25</v>
      </c>
      <c r="F254" s="76">
        <v>203.096</v>
      </c>
      <c r="G254" s="76">
        <v>2</v>
      </c>
      <c r="H254" s="76">
        <v>195.15799999999999</v>
      </c>
      <c r="I254" s="76">
        <v>11.226000000000001</v>
      </c>
      <c r="J254" s="76">
        <v>5.7519999999999998</v>
      </c>
    </row>
    <row r="255" spans="2:10" x14ac:dyDescent="0.25">
      <c r="B255" s="76"/>
      <c r="C255" s="76" t="s">
        <v>247</v>
      </c>
      <c r="D255" s="76"/>
      <c r="E255" s="76">
        <v>0.23400000000000001</v>
      </c>
      <c r="F255" s="76">
        <v>187.22</v>
      </c>
      <c r="G255" s="76"/>
      <c r="H255" s="76"/>
      <c r="I255" s="76"/>
      <c r="J255" s="76"/>
    </row>
    <row r="256" spans="2:10" x14ac:dyDescent="0.25">
      <c r="B256" s="76" t="s">
        <v>215</v>
      </c>
      <c r="C256" s="76" t="s">
        <v>248</v>
      </c>
      <c r="D256" s="76"/>
      <c r="E256" s="76">
        <v>0.11799999999999999</v>
      </c>
      <c r="F256" s="76">
        <v>71.396000000000001</v>
      </c>
      <c r="G256" s="76">
        <v>2</v>
      </c>
      <c r="H256" s="76">
        <v>81.631</v>
      </c>
      <c r="I256" s="76">
        <v>14.474</v>
      </c>
      <c r="J256" s="76">
        <v>17.731000000000002</v>
      </c>
    </row>
    <row r="257" spans="2:10" x14ac:dyDescent="0.25">
      <c r="B257" s="76"/>
      <c r="C257" s="76" t="s">
        <v>249</v>
      </c>
      <c r="D257" s="76"/>
      <c r="E257" s="76">
        <v>0.13900000000000001</v>
      </c>
      <c r="F257" s="76">
        <v>91.864999999999995</v>
      </c>
      <c r="G257" s="76"/>
      <c r="H257" s="76"/>
      <c r="I257" s="76"/>
      <c r="J257" s="76"/>
    </row>
    <row r="258" spans="2:10" x14ac:dyDescent="0.25">
      <c r="B258" s="76" t="s">
        <v>198</v>
      </c>
      <c r="C258" s="76" t="s">
        <v>250</v>
      </c>
      <c r="D258" s="76"/>
      <c r="E258" s="76">
        <v>8.4000000000000005E-2</v>
      </c>
      <c r="F258" s="76">
        <v>37.448</v>
      </c>
      <c r="G258" s="76">
        <v>2</v>
      </c>
      <c r="H258" s="76">
        <v>40.792999999999999</v>
      </c>
      <c r="I258" s="76">
        <v>4.7300000000000004</v>
      </c>
      <c r="J258" s="76">
        <v>11.596</v>
      </c>
    </row>
    <row r="259" spans="2:10" x14ac:dyDescent="0.25">
      <c r="B259" s="76"/>
      <c r="C259" s="76" t="s">
        <v>251</v>
      </c>
      <c r="D259" s="76"/>
      <c r="E259" s="76">
        <v>9.0999999999999998E-2</v>
      </c>
      <c r="F259" s="76">
        <v>44.137999999999998</v>
      </c>
      <c r="G259" s="76"/>
      <c r="H259" s="76"/>
      <c r="I259" s="76"/>
      <c r="J259" s="76"/>
    </row>
    <row r="260" spans="2:10" x14ac:dyDescent="0.25">
      <c r="B260" s="76" t="s">
        <v>204</v>
      </c>
      <c r="C260" s="76" t="s">
        <v>252</v>
      </c>
      <c r="D260" s="76"/>
      <c r="E260" s="76">
        <v>0.14799999999999999</v>
      </c>
      <c r="F260" s="76">
        <v>101.151</v>
      </c>
      <c r="G260" s="76">
        <v>2</v>
      </c>
      <c r="H260" s="76">
        <v>107.741</v>
      </c>
      <c r="I260" s="76">
        <v>9.32</v>
      </c>
      <c r="J260" s="76">
        <v>8.65</v>
      </c>
    </row>
    <row r="261" spans="2:10" x14ac:dyDescent="0.25">
      <c r="B261" s="76"/>
      <c r="C261" s="76" t="s">
        <v>253</v>
      </c>
      <c r="D261" s="76"/>
      <c r="E261" s="76">
        <v>0.161</v>
      </c>
      <c r="F261" s="76">
        <v>114.331</v>
      </c>
      <c r="G261" s="76"/>
      <c r="H261" s="76"/>
      <c r="I261" s="76"/>
      <c r="J261" s="76"/>
    </row>
    <row r="262" spans="2:10" x14ac:dyDescent="0.25">
      <c r="B262" s="76" t="s">
        <v>210</v>
      </c>
      <c r="C262" s="76" t="s">
        <v>254</v>
      </c>
      <c r="D262" s="76"/>
      <c r="E262" s="76">
        <v>0.17599999999999999</v>
      </c>
      <c r="F262" s="76">
        <v>129.40799999999999</v>
      </c>
      <c r="G262" s="76">
        <v>2</v>
      </c>
      <c r="H262" s="76">
        <v>141.24</v>
      </c>
      <c r="I262" s="76">
        <v>16.733000000000001</v>
      </c>
      <c r="J262" s="76">
        <v>11.847</v>
      </c>
    </row>
    <row r="263" spans="2:10" x14ac:dyDescent="0.25">
      <c r="B263" s="76"/>
      <c r="C263" s="76" t="s">
        <v>255</v>
      </c>
      <c r="D263" s="76"/>
      <c r="E263" s="76">
        <v>0.2</v>
      </c>
      <c r="F263" s="76">
        <v>153.072</v>
      </c>
      <c r="G263" s="76"/>
      <c r="H263" s="76"/>
      <c r="I263" s="76"/>
      <c r="J263" s="76"/>
    </row>
    <row r="264" spans="2:10" x14ac:dyDescent="0.25">
      <c r="B264" s="76" t="s">
        <v>216</v>
      </c>
      <c r="C264" s="76" t="s">
        <v>256</v>
      </c>
      <c r="D264" s="76"/>
      <c r="E264" s="76">
        <v>0.14499999999999999</v>
      </c>
      <c r="F264" s="76">
        <v>98.555000000000007</v>
      </c>
      <c r="G264" s="76">
        <v>2</v>
      </c>
      <c r="H264" s="76">
        <v>106.94199999999999</v>
      </c>
      <c r="I264" s="76">
        <v>11.861000000000001</v>
      </c>
      <c r="J264" s="76">
        <v>11.090999999999999</v>
      </c>
    </row>
    <row r="265" spans="2:10" x14ac:dyDescent="0.25">
      <c r="B265" s="76"/>
      <c r="C265" s="76" t="s">
        <v>257</v>
      </c>
      <c r="D265" s="76"/>
      <c r="E265" s="76">
        <v>0.16200000000000001</v>
      </c>
      <c r="F265" s="76">
        <v>115.32899999999999</v>
      </c>
      <c r="G265" s="76"/>
      <c r="H265" s="76"/>
      <c r="I265" s="76"/>
      <c r="J265" s="76"/>
    </row>
    <row r="266" spans="2:10" x14ac:dyDescent="0.25">
      <c r="B266" s="76" t="s">
        <v>199</v>
      </c>
      <c r="C266" s="76" t="s">
        <v>258</v>
      </c>
      <c r="D266" s="76"/>
      <c r="E266" s="76">
        <v>8.6999999999999994E-2</v>
      </c>
      <c r="F266" s="76">
        <v>40.643000000000001</v>
      </c>
      <c r="G266" s="76">
        <v>2</v>
      </c>
      <c r="H266" s="76">
        <v>44.686999999999998</v>
      </c>
      <c r="I266" s="76">
        <v>5.7190000000000003</v>
      </c>
      <c r="J266" s="76">
        <v>12.798</v>
      </c>
    </row>
    <row r="267" spans="2:10" x14ac:dyDescent="0.25">
      <c r="B267" s="76"/>
      <c r="C267" s="76" t="s">
        <v>259</v>
      </c>
      <c r="D267" s="76"/>
      <c r="E267" s="76">
        <v>9.6000000000000002E-2</v>
      </c>
      <c r="F267" s="76">
        <v>48.731000000000002</v>
      </c>
      <c r="G267" s="76"/>
      <c r="H267" s="76"/>
      <c r="I267" s="76"/>
      <c r="J267" s="76"/>
    </row>
    <row r="268" spans="2:10" x14ac:dyDescent="0.25">
      <c r="B268" s="76" t="s">
        <v>205</v>
      </c>
      <c r="C268" s="76" t="s">
        <v>260</v>
      </c>
      <c r="D268" s="76"/>
      <c r="E268" s="76">
        <v>0.158</v>
      </c>
      <c r="F268" s="76">
        <v>111.236</v>
      </c>
      <c r="G268" s="76">
        <v>2</v>
      </c>
      <c r="H268" s="76">
        <v>112.03400000000001</v>
      </c>
      <c r="I268" s="76">
        <v>1.1299999999999999</v>
      </c>
      <c r="J268" s="76">
        <v>1.008</v>
      </c>
    </row>
    <row r="269" spans="2:10" x14ac:dyDescent="0.25">
      <c r="B269" s="76"/>
      <c r="C269" s="76" t="s">
        <v>261</v>
      </c>
      <c r="D269" s="76"/>
      <c r="E269" s="76">
        <v>0.16</v>
      </c>
      <c r="F269" s="76">
        <v>112.833</v>
      </c>
      <c r="G269" s="76"/>
      <c r="H269" s="76"/>
      <c r="I269" s="76"/>
      <c r="J269" s="76"/>
    </row>
    <row r="270" spans="2:10" x14ac:dyDescent="0.25">
      <c r="B270" s="76" t="s">
        <v>211</v>
      </c>
      <c r="C270" s="76" t="s">
        <v>262</v>
      </c>
      <c r="D270" s="76"/>
      <c r="E270" s="76">
        <v>0.06</v>
      </c>
      <c r="F270" s="76">
        <v>12.786</v>
      </c>
      <c r="G270" s="76">
        <v>2</v>
      </c>
      <c r="H270" s="76">
        <v>12.286</v>
      </c>
      <c r="I270" s="76">
        <v>0.70599999999999996</v>
      </c>
      <c r="J270" s="76">
        <v>5.7460000000000004</v>
      </c>
    </row>
    <row r="271" spans="2:10" x14ac:dyDescent="0.25">
      <c r="B271" s="76"/>
      <c r="C271" s="76" t="s">
        <v>263</v>
      </c>
      <c r="D271" s="76"/>
      <c r="E271" s="76">
        <v>5.8999999999999997E-2</v>
      </c>
      <c r="F271" s="76">
        <v>11.787000000000001</v>
      </c>
      <c r="G271" s="76"/>
      <c r="H271" s="76"/>
      <c r="I271" s="76"/>
      <c r="J271" s="76"/>
    </row>
    <row r="272" spans="2:10" x14ac:dyDescent="0.25">
      <c r="B272" s="76" t="s">
        <v>217</v>
      </c>
      <c r="C272" s="76" t="s">
        <v>264</v>
      </c>
      <c r="D272" s="76"/>
      <c r="E272" s="76">
        <v>0.13400000000000001</v>
      </c>
      <c r="F272" s="76">
        <v>86.772999999999996</v>
      </c>
      <c r="G272" s="76">
        <v>2</v>
      </c>
      <c r="H272" s="76">
        <v>80.433000000000007</v>
      </c>
      <c r="I272" s="76">
        <v>8.9670000000000005</v>
      </c>
      <c r="J272" s="76">
        <v>11.148</v>
      </c>
    </row>
    <row r="273" spans="1:10" x14ac:dyDescent="0.25">
      <c r="B273" s="76"/>
      <c r="C273" s="76" t="s">
        <v>265</v>
      </c>
      <c r="D273" s="76"/>
      <c r="E273" s="76">
        <v>0.121</v>
      </c>
      <c r="F273" s="76">
        <v>74.091999999999999</v>
      </c>
      <c r="G273" s="76"/>
      <c r="H273" s="76"/>
      <c r="I273" s="76"/>
      <c r="J273" s="76"/>
    </row>
    <row r="274" spans="1:10" x14ac:dyDescent="0.25">
      <c r="B274" s="76" t="s">
        <v>98</v>
      </c>
      <c r="C274" s="76" t="s">
        <v>88</v>
      </c>
      <c r="D274" s="76">
        <v>0</v>
      </c>
      <c r="E274" s="76">
        <v>4.7E-2</v>
      </c>
      <c r="F274" s="76">
        <v>0.30499999999999999</v>
      </c>
      <c r="G274" s="76">
        <v>2</v>
      </c>
      <c r="H274" s="76">
        <v>0.40500000000000003</v>
      </c>
      <c r="I274" s="76">
        <v>0.14099999999999999</v>
      </c>
      <c r="J274" s="76">
        <v>34.905999999999999</v>
      </c>
    </row>
    <row r="275" spans="1:10" x14ac:dyDescent="0.25">
      <c r="B275" s="76"/>
      <c r="C275" s="76" t="s">
        <v>89</v>
      </c>
      <c r="D275" s="76">
        <v>0</v>
      </c>
      <c r="E275" s="76">
        <v>4.7E-2</v>
      </c>
      <c r="F275" s="76">
        <v>0.504</v>
      </c>
      <c r="G275" s="76"/>
      <c r="H275" s="76"/>
      <c r="I275" s="76"/>
      <c r="J275" s="76"/>
    </row>
    <row r="276" spans="1:10" x14ac:dyDescent="0.25">
      <c r="B276" s="76" t="s">
        <v>43</v>
      </c>
      <c r="C276" s="76" t="s">
        <v>91</v>
      </c>
      <c r="D276" s="76">
        <v>12.5</v>
      </c>
      <c r="E276" s="76">
        <v>5.6000000000000001E-2</v>
      </c>
      <c r="F276" s="76">
        <v>9.2910000000000004</v>
      </c>
      <c r="G276" s="76">
        <v>2</v>
      </c>
      <c r="H276" s="76">
        <v>15.631</v>
      </c>
      <c r="I276" s="76">
        <v>8.9670000000000005</v>
      </c>
      <c r="J276" s="76">
        <v>57.363</v>
      </c>
    </row>
    <row r="277" spans="1:10" x14ac:dyDescent="0.25">
      <c r="B277" s="76"/>
      <c r="C277" s="76" t="s">
        <v>90</v>
      </c>
      <c r="D277" s="76">
        <v>12.5</v>
      </c>
      <c r="E277" s="76">
        <v>6.9000000000000006E-2</v>
      </c>
      <c r="F277" s="76">
        <v>21.972000000000001</v>
      </c>
      <c r="G277" s="76"/>
      <c r="H277" s="76"/>
      <c r="I277" s="76"/>
      <c r="J277" s="76"/>
    </row>
    <row r="278" spans="1:10" x14ac:dyDescent="0.25">
      <c r="B278" s="76" t="s">
        <v>49</v>
      </c>
      <c r="C278" s="76" t="s">
        <v>92</v>
      </c>
      <c r="D278" s="76">
        <v>50</v>
      </c>
      <c r="E278" s="76">
        <v>9.1999999999999998E-2</v>
      </c>
      <c r="F278" s="76">
        <v>45.636000000000003</v>
      </c>
      <c r="G278" s="76">
        <v>2</v>
      </c>
      <c r="H278" s="76">
        <v>48.281999999999996</v>
      </c>
      <c r="I278" s="76">
        <v>3.742</v>
      </c>
      <c r="J278" s="76">
        <v>7.75</v>
      </c>
    </row>
    <row r="279" spans="1:10" x14ac:dyDescent="0.25">
      <c r="B279" s="76"/>
      <c r="C279" s="76" t="s">
        <v>93</v>
      </c>
      <c r="D279" s="76">
        <v>50</v>
      </c>
      <c r="E279" s="76">
        <v>9.8000000000000004E-2</v>
      </c>
      <c r="F279" s="76">
        <v>50.927999999999997</v>
      </c>
      <c r="G279" s="76"/>
      <c r="H279" s="76"/>
      <c r="I279" s="76"/>
      <c r="J279" s="76"/>
    </row>
    <row r="280" spans="1:10" x14ac:dyDescent="0.25">
      <c r="B280" s="76" t="s">
        <v>102</v>
      </c>
      <c r="C280" s="76" t="s">
        <v>94</v>
      </c>
      <c r="D280" s="76">
        <v>100</v>
      </c>
      <c r="E280" s="76">
        <v>0.14399999999999999</v>
      </c>
      <c r="F280" s="76">
        <v>96.757999999999996</v>
      </c>
      <c r="G280" s="76">
        <v>2</v>
      </c>
      <c r="H280" s="76">
        <v>98.504999999999995</v>
      </c>
      <c r="I280" s="76">
        <v>2.4710000000000001</v>
      </c>
      <c r="J280" s="76">
        <v>2.5089999999999999</v>
      </c>
    </row>
    <row r="281" spans="1:10" x14ac:dyDescent="0.25">
      <c r="B281" s="76"/>
      <c r="C281" s="76" t="s">
        <v>95</v>
      </c>
      <c r="D281" s="76">
        <v>100</v>
      </c>
      <c r="E281" s="76">
        <v>0.14699999999999999</v>
      </c>
      <c r="F281" s="76">
        <v>100.252</v>
      </c>
      <c r="G281" s="76"/>
      <c r="H281" s="76"/>
      <c r="I281" s="76"/>
      <c r="J281" s="76"/>
    </row>
    <row r="282" spans="1:10" x14ac:dyDescent="0.25">
      <c r="B282" s="76" t="s">
        <v>55</v>
      </c>
      <c r="C282" s="76" t="s">
        <v>66</v>
      </c>
      <c r="D282" s="76">
        <v>150</v>
      </c>
      <c r="E282" s="76">
        <v>0.182</v>
      </c>
      <c r="F282" s="76">
        <v>135.399</v>
      </c>
      <c r="G282" s="76">
        <v>2</v>
      </c>
      <c r="H282" s="76">
        <v>144.785</v>
      </c>
      <c r="I282" s="76">
        <v>13.273</v>
      </c>
      <c r="J282" s="76">
        <v>9.1679999999999993</v>
      </c>
    </row>
    <row r="283" spans="1:10" x14ac:dyDescent="0.25">
      <c r="B283" s="76"/>
      <c r="C283" s="76" t="s">
        <v>67</v>
      </c>
      <c r="D283" s="76">
        <v>150</v>
      </c>
      <c r="E283" s="76">
        <v>0.20100000000000001</v>
      </c>
      <c r="F283" s="76">
        <v>154.16999999999999</v>
      </c>
      <c r="G283" s="76"/>
      <c r="H283" s="76"/>
      <c r="I283" s="76"/>
      <c r="J283" s="76"/>
    </row>
    <row r="284" spans="1:10" x14ac:dyDescent="0.25">
      <c r="B284" s="76" t="s">
        <v>134</v>
      </c>
      <c r="C284" s="76" t="s">
        <v>68</v>
      </c>
      <c r="D284" s="76">
        <v>200</v>
      </c>
      <c r="E284" s="76">
        <v>0.24099999999999999</v>
      </c>
      <c r="F284" s="76">
        <v>194.209</v>
      </c>
      <c r="G284" s="76">
        <v>1</v>
      </c>
      <c r="H284" s="76">
        <v>194.209</v>
      </c>
      <c r="I284" s="76" t="s">
        <v>99</v>
      </c>
      <c r="J284" s="76" t="s">
        <v>99</v>
      </c>
    </row>
    <row r="285" spans="1:10" x14ac:dyDescent="0.25">
      <c r="B285" s="76"/>
      <c r="C285" s="76" t="s">
        <v>69</v>
      </c>
      <c r="D285" s="76">
        <v>200</v>
      </c>
      <c r="E285" s="76">
        <v>0.26300000000000001</v>
      </c>
      <c r="F285" s="76" t="s">
        <v>155</v>
      </c>
      <c r="G285" s="76"/>
      <c r="H285" s="76"/>
      <c r="I285" s="76"/>
      <c r="J285" s="76"/>
    </row>
    <row r="287" spans="1:10" x14ac:dyDescent="0.25">
      <c r="A287" s="63" t="s">
        <v>266</v>
      </c>
      <c r="B287" s="64"/>
    </row>
    <row r="288" spans="1:10" x14ac:dyDescent="0.25">
      <c r="A288" s="60" t="s">
        <v>59</v>
      </c>
      <c r="B288" s="60">
        <v>26.9</v>
      </c>
    </row>
    <row r="290" spans="2:10" x14ac:dyDescent="0.25">
      <c r="B290" s="66" t="s">
        <v>39</v>
      </c>
      <c r="C290" s="66" t="s">
        <v>60</v>
      </c>
      <c r="D290" s="66" t="s">
        <v>40</v>
      </c>
      <c r="E290" s="66">
        <v>500</v>
      </c>
      <c r="F290" s="66" t="s">
        <v>266</v>
      </c>
      <c r="G290" s="66" t="s">
        <v>61</v>
      </c>
      <c r="H290" s="66" t="s">
        <v>4</v>
      </c>
      <c r="I290" s="66" t="s">
        <v>62</v>
      </c>
      <c r="J290" s="66" t="s">
        <v>63</v>
      </c>
    </row>
    <row r="291" spans="2:10" x14ac:dyDescent="0.25">
      <c r="B291" s="76" t="s">
        <v>36</v>
      </c>
      <c r="C291" s="76" t="s">
        <v>64</v>
      </c>
      <c r="D291" s="76"/>
      <c r="E291" s="76">
        <v>5.1999999999999998E-2</v>
      </c>
      <c r="F291" s="76">
        <v>4.0000000000000001E-3</v>
      </c>
      <c r="G291" s="76">
        <v>2</v>
      </c>
      <c r="H291" s="76">
        <v>0</v>
      </c>
      <c r="I291" s="76">
        <v>6.0000000000000001E-3</v>
      </c>
      <c r="J291" s="76" t="s">
        <v>99</v>
      </c>
    </row>
    <row r="292" spans="2:10" x14ac:dyDescent="0.25">
      <c r="B292" s="76"/>
      <c r="C292" s="76" t="s">
        <v>65</v>
      </c>
      <c r="D292" s="76"/>
      <c r="E292" s="76">
        <v>4.2999999999999997E-2</v>
      </c>
      <c r="F292" s="76">
        <v>-4.0000000000000001E-3</v>
      </c>
      <c r="G292" s="76"/>
      <c r="H292" s="76"/>
      <c r="I292" s="76"/>
      <c r="J292" s="76"/>
    </row>
    <row r="293" spans="2:10" x14ac:dyDescent="0.25">
      <c r="B293" s="76" t="s">
        <v>44</v>
      </c>
      <c r="C293" s="76" t="s">
        <v>70</v>
      </c>
      <c r="D293" s="76"/>
      <c r="E293" s="76">
        <v>0.193</v>
      </c>
      <c r="F293" s="76">
        <v>0.14599999999999999</v>
      </c>
      <c r="G293" s="76">
        <v>2</v>
      </c>
      <c r="H293" s="76">
        <v>0.14099999999999999</v>
      </c>
      <c r="I293" s="76">
        <v>6.0000000000000001E-3</v>
      </c>
      <c r="J293" s="76">
        <v>4.3049999999999997</v>
      </c>
    </row>
    <row r="294" spans="2:10" x14ac:dyDescent="0.25">
      <c r="B294" s="76"/>
      <c r="C294" s="76" t="s">
        <v>71</v>
      </c>
      <c r="D294" s="76"/>
      <c r="E294" s="76">
        <v>0.184</v>
      </c>
      <c r="F294" s="76">
        <v>0.13700000000000001</v>
      </c>
      <c r="G294" s="76"/>
      <c r="H294" s="76"/>
      <c r="I294" s="76"/>
      <c r="J294" s="76"/>
    </row>
    <row r="295" spans="2:10" x14ac:dyDescent="0.25">
      <c r="B295" s="76" t="s">
        <v>50</v>
      </c>
      <c r="C295" s="76" t="s">
        <v>72</v>
      </c>
      <c r="D295" s="76"/>
      <c r="E295" s="76">
        <v>0.13800000000000001</v>
      </c>
      <c r="F295" s="76">
        <v>9.0999999999999998E-2</v>
      </c>
      <c r="G295" s="76">
        <v>2</v>
      </c>
      <c r="H295" s="76">
        <v>9.5000000000000001E-2</v>
      </c>
      <c r="I295" s="76">
        <v>7.0000000000000001E-3</v>
      </c>
      <c r="J295" s="76">
        <v>6.9710000000000001</v>
      </c>
    </row>
    <row r="296" spans="2:10" x14ac:dyDescent="0.25">
      <c r="B296" s="76"/>
      <c r="C296" s="76" t="s">
        <v>73</v>
      </c>
      <c r="D296" s="76"/>
      <c r="E296" s="76">
        <v>0.14699999999999999</v>
      </c>
      <c r="F296" s="76">
        <v>0.1</v>
      </c>
      <c r="G296" s="76"/>
      <c r="H296" s="76"/>
      <c r="I296" s="76"/>
      <c r="J296" s="76"/>
    </row>
    <row r="297" spans="2:10" x14ac:dyDescent="0.25">
      <c r="B297" s="76" t="s">
        <v>56</v>
      </c>
      <c r="C297" s="76" t="s">
        <v>74</v>
      </c>
      <c r="D297" s="76"/>
      <c r="E297" s="76">
        <v>8.6999999999999994E-2</v>
      </c>
      <c r="F297" s="76">
        <v>3.9E-2</v>
      </c>
      <c r="G297" s="76">
        <v>2</v>
      </c>
      <c r="H297" s="76">
        <v>4.2000000000000003E-2</v>
      </c>
      <c r="I297" s="76">
        <v>3.0000000000000001E-3</v>
      </c>
      <c r="J297" s="76">
        <v>6.9859999999999998</v>
      </c>
    </row>
    <row r="298" spans="2:10" x14ac:dyDescent="0.25">
      <c r="B298" s="76"/>
      <c r="C298" s="76" t="s">
        <v>75</v>
      </c>
      <c r="D298" s="76"/>
      <c r="E298" s="76">
        <v>9.0999999999999998E-2</v>
      </c>
      <c r="F298" s="76">
        <v>4.3999999999999997E-2</v>
      </c>
      <c r="G298" s="76"/>
      <c r="H298" s="76"/>
      <c r="I298" s="76"/>
      <c r="J298" s="76"/>
    </row>
    <row r="299" spans="2:10" x14ac:dyDescent="0.25">
      <c r="B299" s="76" t="s">
        <v>37</v>
      </c>
      <c r="C299" s="76" t="s">
        <v>76</v>
      </c>
      <c r="D299" s="76"/>
      <c r="E299" s="76">
        <v>0.153</v>
      </c>
      <c r="F299" s="76">
        <v>0.106</v>
      </c>
      <c r="G299" s="76">
        <v>2</v>
      </c>
      <c r="H299" s="76">
        <v>9.8000000000000004E-2</v>
      </c>
      <c r="I299" s="76">
        <v>1.0999999999999999E-2</v>
      </c>
      <c r="J299" s="76">
        <v>11.129</v>
      </c>
    </row>
    <row r="300" spans="2:10" x14ac:dyDescent="0.25">
      <c r="B300" s="76"/>
      <c r="C300" s="76" t="s">
        <v>77</v>
      </c>
      <c r="D300" s="76"/>
      <c r="E300" s="76">
        <v>0.13800000000000001</v>
      </c>
      <c r="F300" s="76">
        <v>0.09</v>
      </c>
      <c r="G300" s="76"/>
      <c r="H300" s="76"/>
      <c r="I300" s="76"/>
      <c r="J300" s="76"/>
    </row>
    <row r="301" spans="2:10" x14ac:dyDescent="0.25">
      <c r="B301" s="76" t="s">
        <v>45</v>
      </c>
      <c r="C301" s="76" t="s">
        <v>78</v>
      </c>
      <c r="D301" s="76"/>
      <c r="E301" s="76">
        <v>0.105</v>
      </c>
      <c r="F301" s="76">
        <v>5.8000000000000003E-2</v>
      </c>
      <c r="G301" s="76">
        <v>2</v>
      </c>
      <c r="H301" s="76">
        <v>5.7000000000000002E-2</v>
      </c>
      <c r="I301" s="76">
        <v>1E-3</v>
      </c>
      <c r="J301" s="76">
        <v>2.2469999999999999</v>
      </c>
    </row>
    <row r="302" spans="2:10" x14ac:dyDescent="0.25">
      <c r="B302" s="76"/>
      <c r="C302" s="76" t="s">
        <v>79</v>
      </c>
      <c r="D302" s="76"/>
      <c r="E302" s="76">
        <v>0.10299999999999999</v>
      </c>
      <c r="F302" s="76">
        <v>5.6000000000000001E-2</v>
      </c>
      <c r="G302" s="76"/>
      <c r="H302" s="76"/>
      <c r="I302" s="76"/>
      <c r="J302" s="76"/>
    </row>
    <row r="303" spans="2:10" x14ac:dyDescent="0.25">
      <c r="B303" s="76" t="s">
        <v>51</v>
      </c>
      <c r="C303" s="76" t="s">
        <v>80</v>
      </c>
      <c r="D303" s="76"/>
      <c r="E303" s="76">
        <v>0.115</v>
      </c>
      <c r="F303" s="76">
        <v>6.8000000000000005E-2</v>
      </c>
      <c r="G303" s="76">
        <v>2</v>
      </c>
      <c r="H303" s="76">
        <v>6.7000000000000004E-2</v>
      </c>
      <c r="I303" s="76">
        <v>1E-3</v>
      </c>
      <c r="J303" s="76">
        <v>1.476</v>
      </c>
    </row>
    <row r="304" spans="2:10" x14ac:dyDescent="0.25">
      <c r="B304" s="76"/>
      <c r="C304" s="76" t="s">
        <v>81</v>
      </c>
      <c r="D304" s="76"/>
      <c r="E304" s="76">
        <v>0.114</v>
      </c>
      <c r="F304" s="76">
        <v>6.6000000000000003E-2</v>
      </c>
      <c r="G304" s="76"/>
      <c r="H304" s="76"/>
      <c r="I304" s="76"/>
      <c r="J304" s="76"/>
    </row>
    <row r="305" spans="2:10" x14ac:dyDescent="0.25">
      <c r="B305" s="76" t="s">
        <v>57</v>
      </c>
      <c r="C305" s="76" t="s">
        <v>82</v>
      </c>
      <c r="D305" s="76"/>
      <c r="E305" s="76">
        <v>0.154</v>
      </c>
      <c r="F305" s="76">
        <v>0.107</v>
      </c>
      <c r="G305" s="76">
        <v>2</v>
      </c>
      <c r="H305" s="76">
        <v>0.109</v>
      </c>
      <c r="I305" s="76">
        <v>3.0000000000000001E-3</v>
      </c>
      <c r="J305" s="76">
        <v>2.407</v>
      </c>
    </row>
    <row r="306" spans="2:10" x14ac:dyDescent="0.25">
      <c r="B306" s="76"/>
      <c r="C306" s="76" t="s">
        <v>83</v>
      </c>
      <c r="D306" s="76"/>
      <c r="E306" s="76">
        <v>0.158</v>
      </c>
      <c r="F306" s="76">
        <v>0.111</v>
      </c>
      <c r="G306" s="76"/>
      <c r="H306" s="76"/>
      <c r="I306" s="76"/>
      <c r="J306" s="76"/>
    </row>
    <row r="307" spans="2:10" x14ac:dyDescent="0.25">
      <c r="B307" s="76" t="s">
        <v>38</v>
      </c>
      <c r="C307" s="76" t="s">
        <v>84</v>
      </c>
      <c r="D307" s="76"/>
      <c r="E307" s="76">
        <v>8.3000000000000004E-2</v>
      </c>
      <c r="F307" s="76">
        <v>3.5000000000000003E-2</v>
      </c>
      <c r="G307" s="76">
        <v>2</v>
      </c>
      <c r="H307" s="76">
        <v>6.4000000000000001E-2</v>
      </c>
      <c r="I307" s="76">
        <v>4.1000000000000002E-2</v>
      </c>
      <c r="J307" s="76">
        <v>63.406999999999996</v>
      </c>
    </row>
    <row r="308" spans="2:10" x14ac:dyDescent="0.25">
      <c r="B308" s="76"/>
      <c r="C308" s="76" t="s">
        <v>85</v>
      </c>
      <c r="D308" s="76"/>
      <c r="E308" s="76">
        <v>0.14000000000000001</v>
      </c>
      <c r="F308" s="76">
        <v>9.2999999999999999E-2</v>
      </c>
      <c r="G308" s="76"/>
      <c r="H308" s="76"/>
      <c r="I308" s="76"/>
      <c r="J308" s="76"/>
    </row>
    <row r="309" spans="2:10" x14ac:dyDescent="0.25">
      <c r="B309" s="76" t="s">
        <v>46</v>
      </c>
      <c r="C309" s="76" t="s">
        <v>86</v>
      </c>
      <c r="D309" s="76"/>
      <c r="E309" s="76">
        <v>0.23100000000000001</v>
      </c>
      <c r="F309" s="76">
        <v>0.183</v>
      </c>
      <c r="G309" s="76">
        <v>2</v>
      </c>
      <c r="H309" s="76">
        <v>0.18</v>
      </c>
      <c r="I309" s="76">
        <v>5.0000000000000001E-3</v>
      </c>
      <c r="J309" s="76">
        <v>2.831</v>
      </c>
    </row>
    <row r="310" spans="2:10" x14ac:dyDescent="0.25">
      <c r="B310" s="76"/>
      <c r="C310" s="76" t="s">
        <v>87</v>
      </c>
      <c r="D310" s="76"/>
      <c r="E310" s="76">
        <v>0.224</v>
      </c>
      <c r="F310" s="76">
        <v>0.17599999999999999</v>
      </c>
      <c r="G310" s="76"/>
      <c r="H310" s="76"/>
      <c r="I310" s="76"/>
      <c r="J310" s="76"/>
    </row>
    <row r="311" spans="2:10" x14ac:dyDescent="0.25">
      <c r="B311" s="76" t="s">
        <v>52</v>
      </c>
      <c r="C311" s="76" t="s">
        <v>139</v>
      </c>
      <c r="D311" s="76"/>
      <c r="E311" s="76">
        <v>8.6999999999999994E-2</v>
      </c>
      <c r="F311" s="76">
        <v>0.04</v>
      </c>
      <c r="G311" s="76">
        <v>2</v>
      </c>
      <c r="H311" s="76">
        <v>3.9E-2</v>
      </c>
      <c r="I311" s="76">
        <v>0</v>
      </c>
      <c r="J311" s="76">
        <v>0.71699999999999997</v>
      </c>
    </row>
    <row r="312" spans="2:10" x14ac:dyDescent="0.25">
      <c r="B312" s="76"/>
      <c r="C312" s="76" t="s">
        <v>140</v>
      </c>
      <c r="D312" s="76"/>
      <c r="E312" s="76">
        <v>8.6999999999999994E-2</v>
      </c>
      <c r="F312" s="76">
        <v>3.9E-2</v>
      </c>
      <c r="G312" s="76"/>
      <c r="H312" s="76"/>
      <c r="I312" s="76"/>
      <c r="J312" s="76"/>
    </row>
    <row r="313" spans="2:10" x14ac:dyDescent="0.25">
      <c r="B313" s="76" t="s">
        <v>132</v>
      </c>
      <c r="C313" s="76" t="s">
        <v>141</v>
      </c>
      <c r="D313" s="76"/>
      <c r="E313" s="76">
        <v>0.14799999999999999</v>
      </c>
      <c r="F313" s="76">
        <v>0.10100000000000001</v>
      </c>
      <c r="G313" s="76">
        <v>2</v>
      </c>
      <c r="H313" s="76">
        <v>0.12</v>
      </c>
      <c r="I313" s="76">
        <v>2.8000000000000001E-2</v>
      </c>
      <c r="J313" s="76">
        <v>22.971</v>
      </c>
    </row>
    <row r="314" spans="2:10" x14ac:dyDescent="0.25">
      <c r="B314" s="76"/>
      <c r="C314" s="76" t="s">
        <v>142</v>
      </c>
      <c r="D314" s="76"/>
      <c r="E314" s="76">
        <v>0.187</v>
      </c>
      <c r="F314" s="76">
        <v>0.14000000000000001</v>
      </c>
      <c r="G314" s="76"/>
      <c r="H314" s="76"/>
      <c r="I314" s="76"/>
      <c r="J314" s="76"/>
    </row>
    <row r="315" spans="2:10" x14ac:dyDescent="0.25">
      <c r="B315" s="76" t="s">
        <v>135</v>
      </c>
      <c r="C315" s="76" t="s">
        <v>143</v>
      </c>
      <c r="D315" s="76"/>
      <c r="E315" s="76">
        <v>0.155</v>
      </c>
      <c r="F315" s="76">
        <v>0.107</v>
      </c>
      <c r="G315" s="76">
        <v>2</v>
      </c>
      <c r="H315" s="76">
        <v>0.122</v>
      </c>
      <c r="I315" s="76">
        <v>0.02</v>
      </c>
      <c r="J315" s="76">
        <v>16.521000000000001</v>
      </c>
    </row>
    <row r="316" spans="2:10" x14ac:dyDescent="0.25">
      <c r="B316" s="76"/>
      <c r="C316" s="76" t="s">
        <v>144</v>
      </c>
      <c r="D316" s="76"/>
      <c r="E316" s="76">
        <v>0.183</v>
      </c>
      <c r="F316" s="76">
        <v>0.13600000000000001</v>
      </c>
      <c r="G316" s="76"/>
      <c r="H316" s="76"/>
      <c r="I316" s="76"/>
      <c r="J316" s="76"/>
    </row>
    <row r="317" spans="2:10" x14ac:dyDescent="0.25">
      <c r="B317" s="76" t="s">
        <v>137</v>
      </c>
      <c r="C317" s="76" t="s">
        <v>145</v>
      </c>
      <c r="D317" s="76"/>
      <c r="E317" s="76">
        <v>9.1999999999999998E-2</v>
      </c>
      <c r="F317" s="76">
        <v>4.4999999999999998E-2</v>
      </c>
      <c r="G317" s="76">
        <v>2</v>
      </c>
      <c r="H317" s="76">
        <v>4.5999999999999999E-2</v>
      </c>
      <c r="I317" s="76">
        <v>1E-3</v>
      </c>
      <c r="J317" s="76">
        <v>3.0910000000000002</v>
      </c>
    </row>
    <row r="318" spans="2:10" x14ac:dyDescent="0.25">
      <c r="B318" s="76"/>
      <c r="C318" s="76" t="s">
        <v>146</v>
      </c>
      <c r="D318" s="76"/>
      <c r="E318" s="76">
        <v>9.4E-2</v>
      </c>
      <c r="F318" s="76">
        <v>4.7E-2</v>
      </c>
      <c r="G318" s="76"/>
      <c r="H318" s="76"/>
      <c r="I318" s="76"/>
      <c r="J318" s="76"/>
    </row>
    <row r="319" spans="2:10" x14ac:dyDescent="0.25">
      <c r="B319" s="76" t="s">
        <v>131</v>
      </c>
      <c r="C319" s="76" t="s">
        <v>147</v>
      </c>
      <c r="D319" s="76"/>
      <c r="E319" s="76">
        <v>0.19400000000000001</v>
      </c>
      <c r="F319" s="76">
        <v>0.14599999999999999</v>
      </c>
      <c r="G319" s="76">
        <v>2</v>
      </c>
      <c r="H319" s="76">
        <v>0.16</v>
      </c>
      <c r="I319" s="76">
        <v>1.9E-2</v>
      </c>
      <c r="J319" s="76">
        <v>11.965999999999999</v>
      </c>
    </row>
    <row r="320" spans="2:10" x14ac:dyDescent="0.25">
      <c r="B320" s="76"/>
      <c r="C320" s="76" t="s">
        <v>148</v>
      </c>
      <c r="D320" s="76"/>
      <c r="E320" s="76">
        <v>0.221</v>
      </c>
      <c r="F320" s="76">
        <v>0.17299999999999999</v>
      </c>
      <c r="G320" s="76"/>
      <c r="H320" s="76"/>
      <c r="I320" s="76"/>
      <c r="J320" s="76"/>
    </row>
    <row r="321" spans="2:10" x14ac:dyDescent="0.25">
      <c r="B321" s="76" t="s">
        <v>133</v>
      </c>
      <c r="C321" s="76" t="s">
        <v>149</v>
      </c>
      <c r="D321" s="76"/>
      <c r="E321" s="76">
        <v>0.10299999999999999</v>
      </c>
      <c r="F321" s="76">
        <v>5.5E-2</v>
      </c>
      <c r="G321" s="76">
        <v>2</v>
      </c>
      <c r="H321" s="76">
        <v>5.7000000000000002E-2</v>
      </c>
      <c r="I321" s="76">
        <v>2E-3</v>
      </c>
      <c r="J321" s="76">
        <v>3.61</v>
      </c>
    </row>
    <row r="322" spans="2:10" x14ac:dyDescent="0.25">
      <c r="B322" s="76"/>
      <c r="C322" s="76" t="s">
        <v>150</v>
      </c>
      <c r="D322" s="76"/>
      <c r="E322" s="76">
        <v>0.106</v>
      </c>
      <c r="F322" s="76">
        <v>5.8000000000000003E-2</v>
      </c>
      <c r="G322" s="76"/>
      <c r="H322" s="76"/>
      <c r="I322" s="76"/>
      <c r="J322" s="76"/>
    </row>
    <row r="323" spans="2:10" x14ac:dyDescent="0.25">
      <c r="B323" s="76" t="s">
        <v>136</v>
      </c>
      <c r="C323" s="76" t="s">
        <v>151</v>
      </c>
      <c r="D323" s="76"/>
      <c r="E323" s="76">
        <v>9.6000000000000002E-2</v>
      </c>
      <c r="F323" s="76">
        <v>4.9000000000000002E-2</v>
      </c>
      <c r="G323" s="76">
        <v>2</v>
      </c>
      <c r="H323" s="76">
        <v>5.0999999999999997E-2</v>
      </c>
      <c r="I323" s="76">
        <v>3.0000000000000001E-3</v>
      </c>
      <c r="J323" s="76">
        <v>6.2270000000000003</v>
      </c>
    </row>
    <row r="324" spans="2:10" x14ac:dyDescent="0.25">
      <c r="B324" s="76"/>
      <c r="C324" s="76" t="s">
        <v>152</v>
      </c>
      <c r="D324" s="76"/>
      <c r="E324" s="76">
        <v>0.10100000000000001</v>
      </c>
      <c r="F324" s="76">
        <v>5.2999999999999999E-2</v>
      </c>
      <c r="G324" s="76"/>
      <c r="H324" s="76"/>
      <c r="I324" s="76"/>
      <c r="J324" s="76"/>
    </row>
    <row r="325" spans="2:10" x14ac:dyDescent="0.25">
      <c r="B325" s="76" t="s">
        <v>138</v>
      </c>
      <c r="C325" s="76" t="s">
        <v>153</v>
      </c>
      <c r="D325" s="76"/>
      <c r="E325" s="76">
        <v>9.2999999999999999E-2</v>
      </c>
      <c r="F325" s="76">
        <v>4.4999999999999998E-2</v>
      </c>
      <c r="G325" s="76">
        <v>2</v>
      </c>
      <c r="H325" s="76">
        <v>4.5999999999999999E-2</v>
      </c>
      <c r="I325" s="76">
        <v>0</v>
      </c>
      <c r="J325" s="76">
        <v>0.93100000000000005</v>
      </c>
    </row>
    <row r="326" spans="2:10" x14ac:dyDescent="0.25">
      <c r="B326" s="76"/>
      <c r="C326" s="76" t="s">
        <v>154</v>
      </c>
      <c r="D326" s="76"/>
      <c r="E326" s="76">
        <v>9.2999999999999999E-2</v>
      </c>
      <c r="F326" s="76">
        <v>4.5999999999999999E-2</v>
      </c>
      <c r="G326" s="76"/>
      <c r="H326" s="76"/>
      <c r="I326" s="76"/>
      <c r="J326" s="76"/>
    </row>
    <row r="327" spans="2:10" x14ac:dyDescent="0.25">
      <c r="B327" s="76" t="s">
        <v>194</v>
      </c>
      <c r="C327" s="76" t="s">
        <v>218</v>
      </c>
      <c r="D327" s="76"/>
      <c r="E327" s="76">
        <v>0.13200000000000001</v>
      </c>
      <c r="F327" s="76">
        <v>8.4000000000000005E-2</v>
      </c>
      <c r="G327" s="76">
        <v>2</v>
      </c>
      <c r="H327" s="76">
        <v>8.7999999999999995E-2</v>
      </c>
      <c r="I327" s="76">
        <v>6.0000000000000001E-3</v>
      </c>
      <c r="J327" s="76">
        <v>6.7229999999999999</v>
      </c>
    </row>
    <row r="328" spans="2:10" x14ac:dyDescent="0.25">
      <c r="B328" s="76"/>
      <c r="C328" s="76" t="s">
        <v>219</v>
      </c>
      <c r="D328" s="76"/>
      <c r="E328" s="76">
        <v>0.14000000000000001</v>
      </c>
      <c r="F328" s="76">
        <v>9.2999999999999999E-2</v>
      </c>
      <c r="G328" s="76"/>
      <c r="H328" s="76"/>
      <c r="I328" s="76"/>
      <c r="J328" s="76"/>
    </row>
    <row r="329" spans="2:10" x14ac:dyDescent="0.25">
      <c r="B329" s="76" t="s">
        <v>200</v>
      </c>
      <c r="C329" s="76" t="s">
        <v>220</v>
      </c>
      <c r="D329" s="76"/>
      <c r="E329" s="76">
        <v>0.221</v>
      </c>
      <c r="F329" s="76">
        <v>0.17299999999999999</v>
      </c>
      <c r="G329" s="76">
        <v>2</v>
      </c>
      <c r="H329" s="76">
        <v>0.17499999999999999</v>
      </c>
      <c r="I329" s="76">
        <v>2E-3</v>
      </c>
      <c r="J329" s="76">
        <v>1.335</v>
      </c>
    </row>
    <row r="330" spans="2:10" x14ac:dyDescent="0.25">
      <c r="B330" s="76"/>
      <c r="C330" s="76" t="s">
        <v>221</v>
      </c>
      <c r="D330" s="76"/>
      <c r="E330" s="76">
        <v>0.224</v>
      </c>
      <c r="F330" s="76">
        <v>0.17599999999999999</v>
      </c>
      <c r="G330" s="76"/>
      <c r="H330" s="76"/>
      <c r="I330" s="76"/>
      <c r="J330" s="76"/>
    </row>
    <row r="331" spans="2:10" x14ac:dyDescent="0.25">
      <c r="B331" s="76" t="s">
        <v>206</v>
      </c>
      <c r="C331" s="76" t="s">
        <v>222</v>
      </c>
      <c r="D331" s="76"/>
      <c r="E331" s="76">
        <v>6.0999999999999999E-2</v>
      </c>
      <c r="F331" s="76">
        <v>1.4E-2</v>
      </c>
      <c r="G331" s="76">
        <v>2</v>
      </c>
      <c r="H331" s="76">
        <v>1.4999999999999999E-2</v>
      </c>
      <c r="I331" s="76">
        <v>1E-3</v>
      </c>
      <c r="J331" s="76">
        <v>7.6189999999999998</v>
      </c>
    </row>
    <row r="332" spans="2:10" x14ac:dyDescent="0.25">
      <c r="B332" s="76"/>
      <c r="C332" s="76" t="s">
        <v>223</v>
      </c>
      <c r="D332" s="76"/>
      <c r="E332" s="76">
        <v>6.3E-2</v>
      </c>
      <c r="F332" s="76">
        <v>1.6E-2</v>
      </c>
      <c r="G332" s="76"/>
      <c r="H332" s="76"/>
      <c r="I332" s="76"/>
      <c r="J332" s="76"/>
    </row>
    <row r="333" spans="2:10" x14ac:dyDescent="0.25">
      <c r="B333" s="76" t="s">
        <v>212</v>
      </c>
      <c r="C333" s="76" t="s">
        <v>224</v>
      </c>
      <c r="D333" s="76"/>
      <c r="E333" s="76">
        <v>8.8999999999999996E-2</v>
      </c>
      <c r="F333" s="76">
        <v>4.2000000000000003E-2</v>
      </c>
      <c r="G333" s="76">
        <v>2</v>
      </c>
      <c r="H333" s="76">
        <v>4.2000000000000003E-2</v>
      </c>
      <c r="I333" s="76">
        <v>1E-3</v>
      </c>
      <c r="J333" s="76">
        <v>2.3319999999999999</v>
      </c>
    </row>
    <row r="334" spans="2:10" x14ac:dyDescent="0.25">
      <c r="B334" s="76"/>
      <c r="C334" s="76" t="s">
        <v>225</v>
      </c>
      <c r="D334" s="76"/>
      <c r="E334" s="76">
        <v>9.0999999999999998E-2</v>
      </c>
      <c r="F334" s="76">
        <v>4.2999999999999997E-2</v>
      </c>
      <c r="G334" s="76"/>
      <c r="H334" s="76"/>
      <c r="I334" s="76"/>
      <c r="J334" s="76"/>
    </row>
    <row r="335" spans="2:10" x14ac:dyDescent="0.25">
      <c r="B335" s="76" t="s">
        <v>195</v>
      </c>
      <c r="C335" s="76" t="s">
        <v>226</v>
      </c>
      <c r="D335" s="76"/>
      <c r="E335" s="76">
        <v>8.7999999999999995E-2</v>
      </c>
      <c r="F335" s="76">
        <v>0.04</v>
      </c>
      <c r="G335" s="76">
        <v>2</v>
      </c>
      <c r="H335" s="76">
        <v>3.7999999999999999E-2</v>
      </c>
      <c r="I335" s="76">
        <v>3.0000000000000001E-3</v>
      </c>
      <c r="J335" s="76">
        <v>8.3740000000000006</v>
      </c>
    </row>
    <row r="336" spans="2:10" x14ac:dyDescent="0.25">
      <c r="B336" s="76"/>
      <c r="C336" s="76" t="s">
        <v>227</v>
      </c>
      <c r="D336" s="76"/>
      <c r="E336" s="76">
        <v>8.3000000000000004E-2</v>
      </c>
      <c r="F336" s="76">
        <v>3.5999999999999997E-2</v>
      </c>
      <c r="G336" s="76"/>
      <c r="H336" s="76"/>
      <c r="I336" s="76"/>
      <c r="J336" s="76"/>
    </row>
    <row r="337" spans="2:10" x14ac:dyDescent="0.25">
      <c r="B337" s="76" t="s">
        <v>201</v>
      </c>
      <c r="C337" s="76" t="s">
        <v>228</v>
      </c>
      <c r="D337" s="76"/>
      <c r="E337" s="76">
        <v>0.14499999999999999</v>
      </c>
      <c r="F337" s="76">
        <v>9.7000000000000003E-2</v>
      </c>
      <c r="G337" s="76">
        <v>2</v>
      </c>
      <c r="H337" s="76">
        <v>9.0999999999999998E-2</v>
      </c>
      <c r="I337" s="76">
        <v>8.9999999999999993E-3</v>
      </c>
      <c r="J337" s="76">
        <v>9.702</v>
      </c>
    </row>
    <row r="338" spans="2:10" x14ac:dyDescent="0.25">
      <c r="B338" s="76"/>
      <c r="C338" s="76" t="s">
        <v>229</v>
      </c>
      <c r="D338" s="76"/>
      <c r="E338" s="76">
        <v>0.13200000000000001</v>
      </c>
      <c r="F338" s="76">
        <v>8.5000000000000006E-2</v>
      </c>
      <c r="G338" s="76"/>
      <c r="H338" s="76"/>
      <c r="I338" s="76"/>
      <c r="J338" s="76"/>
    </row>
    <row r="339" spans="2:10" x14ac:dyDescent="0.25">
      <c r="B339" s="76" t="s">
        <v>207</v>
      </c>
      <c r="C339" s="76" t="s">
        <v>230</v>
      </c>
      <c r="D339" s="76"/>
      <c r="E339" s="76">
        <v>0.123</v>
      </c>
      <c r="F339" s="76">
        <v>7.4999999999999997E-2</v>
      </c>
      <c r="G339" s="76">
        <v>2</v>
      </c>
      <c r="H339" s="76">
        <v>8.2000000000000003E-2</v>
      </c>
      <c r="I339" s="76">
        <v>0.01</v>
      </c>
      <c r="J339" s="76">
        <v>11.943</v>
      </c>
    </row>
    <row r="340" spans="2:10" x14ac:dyDescent="0.25">
      <c r="B340" s="76"/>
      <c r="C340" s="76" t="s">
        <v>231</v>
      </c>
      <c r="D340" s="76"/>
      <c r="E340" s="76">
        <v>0.13700000000000001</v>
      </c>
      <c r="F340" s="76">
        <v>8.8999999999999996E-2</v>
      </c>
      <c r="G340" s="76"/>
      <c r="H340" s="76"/>
      <c r="I340" s="76"/>
      <c r="J340" s="76"/>
    </row>
    <row r="341" spans="2:10" x14ac:dyDescent="0.25">
      <c r="B341" s="76" t="s">
        <v>213</v>
      </c>
      <c r="C341" s="76" t="s">
        <v>232</v>
      </c>
      <c r="D341" s="76"/>
      <c r="E341" s="76">
        <v>6.5000000000000002E-2</v>
      </c>
      <c r="F341" s="76">
        <v>1.7000000000000001E-2</v>
      </c>
      <c r="G341" s="76">
        <v>2</v>
      </c>
      <c r="H341" s="76">
        <v>1.6E-2</v>
      </c>
      <c r="I341" s="76">
        <v>2E-3</v>
      </c>
      <c r="J341" s="76">
        <v>9.5150000000000006</v>
      </c>
    </row>
    <row r="342" spans="2:10" x14ac:dyDescent="0.25">
      <c r="B342" s="76"/>
      <c r="C342" s="76" t="s">
        <v>233</v>
      </c>
      <c r="D342" s="76"/>
      <c r="E342" s="76">
        <v>6.3E-2</v>
      </c>
      <c r="F342" s="76">
        <v>1.4999999999999999E-2</v>
      </c>
      <c r="G342" s="76"/>
      <c r="H342" s="76"/>
      <c r="I342" s="76"/>
      <c r="J342" s="76"/>
    </row>
    <row r="343" spans="2:10" x14ac:dyDescent="0.25">
      <c r="B343" s="76" t="s">
        <v>196</v>
      </c>
      <c r="C343" s="76" t="s">
        <v>234</v>
      </c>
      <c r="D343" s="76"/>
      <c r="E343" s="76">
        <v>9.4E-2</v>
      </c>
      <c r="F343" s="76">
        <v>4.7E-2</v>
      </c>
      <c r="G343" s="76">
        <v>2</v>
      </c>
      <c r="H343" s="76">
        <v>4.5999999999999999E-2</v>
      </c>
      <c r="I343" s="76">
        <v>1E-3</v>
      </c>
      <c r="J343" s="76">
        <v>1.9850000000000001</v>
      </c>
    </row>
    <row r="344" spans="2:10" x14ac:dyDescent="0.25">
      <c r="B344" s="76"/>
      <c r="C344" s="76" t="s">
        <v>235</v>
      </c>
      <c r="D344" s="76"/>
      <c r="E344" s="76">
        <v>9.2999999999999999E-2</v>
      </c>
      <c r="F344" s="76">
        <v>4.5999999999999999E-2</v>
      </c>
      <c r="G344" s="76"/>
      <c r="H344" s="76"/>
      <c r="I344" s="76"/>
      <c r="J344" s="76"/>
    </row>
    <row r="345" spans="2:10" x14ac:dyDescent="0.25">
      <c r="B345" s="76" t="s">
        <v>202</v>
      </c>
      <c r="C345" s="76" t="s">
        <v>236</v>
      </c>
      <c r="D345" s="76"/>
      <c r="E345" s="76">
        <v>6.3E-2</v>
      </c>
      <c r="F345" s="76">
        <v>1.6E-2</v>
      </c>
      <c r="G345" s="76">
        <v>2</v>
      </c>
      <c r="H345" s="76">
        <v>1.7000000000000001E-2</v>
      </c>
      <c r="I345" s="76">
        <v>2E-3</v>
      </c>
      <c r="J345" s="76">
        <v>10.337999999999999</v>
      </c>
    </row>
    <row r="346" spans="2:10" x14ac:dyDescent="0.25">
      <c r="B346" s="76"/>
      <c r="C346" s="76" t="s">
        <v>237</v>
      </c>
      <c r="D346" s="76"/>
      <c r="E346" s="76">
        <v>6.6000000000000003E-2</v>
      </c>
      <c r="F346" s="76">
        <v>1.7999999999999999E-2</v>
      </c>
      <c r="G346" s="76"/>
      <c r="H346" s="76"/>
      <c r="I346" s="76"/>
      <c r="J346" s="76"/>
    </row>
    <row r="347" spans="2:10" x14ac:dyDescent="0.25">
      <c r="B347" s="76" t="s">
        <v>208</v>
      </c>
      <c r="C347" s="76" t="s">
        <v>238</v>
      </c>
      <c r="D347" s="76"/>
      <c r="E347" s="76">
        <v>0.17499999999999999</v>
      </c>
      <c r="F347" s="76">
        <v>0.127</v>
      </c>
      <c r="G347" s="76">
        <v>2</v>
      </c>
      <c r="H347" s="76">
        <v>0.13900000000000001</v>
      </c>
      <c r="I347" s="76">
        <v>1.7000000000000001E-2</v>
      </c>
      <c r="J347" s="76">
        <v>11.984</v>
      </c>
    </row>
    <row r="348" spans="2:10" x14ac:dyDescent="0.25">
      <c r="B348" s="76"/>
      <c r="C348" s="76" t="s">
        <v>239</v>
      </c>
      <c r="D348" s="76"/>
      <c r="E348" s="76">
        <v>0.19900000000000001</v>
      </c>
      <c r="F348" s="76">
        <v>0.151</v>
      </c>
      <c r="G348" s="76"/>
      <c r="H348" s="76"/>
      <c r="I348" s="76"/>
      <c r="J348" s="76"/>
    </row>
    <row r="349" spans="2:10" x14ac:dyDescent="0.25">
      <c r="B349" s="76" t="s">
        <v>214</v>
      </c>
      <c r="C349" s="76" t="s">
        <v>240</v>
      </c>
      <c r="D349" s="76"/>
      <c r="E349" s="76">
        <v>9.7000000000000003E-2</v>
      </c>
      <c r="F349" s="76">
        <v>4.9000000000000002E-2</v>
      </c>
      <c r="G349" s="76">
        <v>2</v>
      </c>
      <c r="H349" s="76">
        <v>0.05</v>
      </c>
      <c r="I349" s="76">
        <v>1E-3</v>
      </c>
      <c r="J349" s="76">
        <v>1.5589999999999999</v>
      </c>
    </row>
    <row r="350" spans="2:10" x14ac:dyDescent="0.25">
      <c r="B350" s="76"/>
      <c r="C350" s="76" t="s">
        <v>241</v>
      </c>
      <c r="D350" s="76"/>
      <c r="E350" s="76">
        <v>9.8000000000000004E-2</v>
      </c>
      <c r="F350" s="76">
        <v>0.05</v>
      </c>
      <c r="G350" s="76"/>
      <c r="H350" s="76"/>
      <c r="I350" s="76"/>
      <c r="J350" s="76"/>
    </row>
    <row r="351" spans="2:10" x14ac:dyDescent="0.25">
      <c r="B351" s="76" t="s">
        <v>197</v>
      </c>
      <c r="C351" s="76" t="s">
        <v>242</v>
      </c>
      <c r="D351" s="76"/>
      <c r="E351" s="76">
        <v>0.105</v>
      </c>
      <c r="F351" s="76">
        <v>5.8000000000000003E-2</v>
      </c>
      <c r="G351" s="76">
        <v>2</v>
      </c>
      <c r="H351" s="76">
        <v>4.9000000000000002E-2</v>
      </c>
      <c r="I351" s="76">
        <v>1.2999999999999999E-2</v>
      </c>
      <c r="J351" s="76">
        <v>26.216000000000001</v>
      </c>
    </row>
    <row r="352" spans="2:10" x14ac:dyDescent="0.25">
      <c r="B352" s="76"/>
      <c r="C352" s="76" t="s">
        <v>243</v>
      </c>
      <c r="D352" s="76"/>
      <c r="E352" s="76">
        <v>8.6999999999999994E-2</v>
      </c>
      <c r="F352" s="76">
        <v>0.04</v>
      </c>
      <c r="G352" s="76"/>
      <c r="H352" s="76"/>
      <c r="I352" s="76"/>
      <c r="J352" s="76"/>
    </row>
    <row r="353" spans="2:10" x14ac:dyDescent="0.25">
      <c r="B353" s="76" t="s">
        <v>203</v>
      </c>
      <c r="C353" s="76" t="s">
        <v>244</v>
      </c>
      <c r="D353" s="76"/>
      <c r="E353" s="76">
        <v>0.14899999999999999</v>
      </c>
      <c r="F353" s="76">
        <v>0.10199999999999999</v>
      </c>
      <c r="G353" s="76">
        <v>2</v>
      </c>
      <c r="H353" s="76">
        <v>0.10299999999999999</v>
      </c>
      <c r="I353" s="76">
        <v>1E-3</v>
      </c>
      <c r="J353" s="76">
        <v>1.44</v>
      </c>
    </row>
    <row r="354" spans="2:10" x14ac:dyDescent="0.25">
      <c r="B354" s="76"/>
      <c r="C354" s="76" t="s">
        <v>245</v>
      </c>
      <c r="D354" s="76"/>
      <c r="E354" s="76">
        <v>0.152</v>
      </c>
      <c r="F354" s="76">
        <v>0.104</v>
      </c>
      <c r="G354" s="76"/>
      <c r="H354" s="76"/>
      <c r="I354" s="76"/>
      <c r="J354" s="76"/>
    </row>
    <row r="355" spans="2:10" x14ac:dyDescent="0.25">
      <c r="B355" s="76" t="s">
        <v>209</v>
      </c>
      <c r="C355" s="76" t="s">
        <v>246</v>
      </c>
      <c r="D355" s="76"/>
      <c r="E355" s="76">
        <v>0.25</v>
      </c>
      <c r="F355" s="76">
        <v>0.20300000000000001</v>
      </c>
      <c r="G355" s="76">
        <v>2</v>
      </c>
      <c r="H355" s="76">
        <v>0.19500000000000001</v>
      </c>
      <c r="I355" s="76">
        <v>1.0999999999999999E-2</v>
      </c>
      <c r="J355" s="76">
        <v>5.7720000000000002</v>
      </c>
    </row>
    <row r="356" spans="2:10" x14ac:dyDescent="0.25">
      <c r="B356" s="76"/>
      <c r="C356" s="76" t="s">
        <v>247</v>
      </c>
      <c r="D356" s="76"/>
      <c r="E356" s="76">
        <v>0.23400000000000001</v>
      </c>
      <c r="F356" s="76">
        <v>0.187</v>
      </c>
      <c r="G356" s="76"/>
      <c r="H356" s="76"/>
      <c r="I356" s="76"/>
      <c r="J356" s="76"/>
    </row>
    <row r="357" spans="2:10" x14ac:dyDescent="0.25">
      <c r="B357" s="76" t="s">
        <v>215</v>
      </c>
      <c r="C357" s="76" t="s">
        <v>248</v>
      </c>
      <c r="D357" s="76"/>
      <c r="E357" s="76">
        <v>0.11799999999999999</v>
      </c>
      <c r="F357" s="76">
        <v>7.0999999999999994E-2</v>
      </c>
      <c r="G357" s="76">
        <v>2</v>
      </c>
      <c r="H357" s="76">
        <v>8.1000000000000003E-2</v>
      </c>
      <c r="I357" s="76">
        <v>1.4E-2</v>
      </c>
      <c r="J357" s="76">
        <v>17.873999999999999</v>
      </c>
    </row>
    <row r="358" spans="2:10" x14ac:dyDescent="0.25">
      <c r="B358" s="76"/>
      <c r="C358" s="76" t="s">
        <v>249</v>
      </c>
      <c r="D358" s="76"/>
      <c r="E358" s="76">
        <v>0.13900000000000001</v>
      </c>
      <c r="F358" s="76">
        <v>9.0999999999999998E-2</v>
      </c>
      <c r="G358" s="76"/>
      <c r="H358" s="76"/>
      <c r="I358" s="76"/>
      <c r="J358" s="76"/>
    </row>
    <row r="359" spans="2:10" x14ac:dyDescent="0.25">
      <c r="B359" s="76" t="s">
        <v>198</v>
      </c>
      <c r="C359" s="76" t="s">
        <v>250</v>
      </c>
      <c r="D359" s="76"/>
      <c r="E359" s="76">
        <v>8.4000000000000005E-2</v>
      </c>
      <c r="F359" s="76">
        <v>3.6999999999999998E-2</v>
      </c>
      <c r="G359" s="76">
        <v>2</v>
      </c>
      <c r="H359" s="76">
        <v>0.04</v>
      </c>
      <c r="I359" s="76">
        <v>5.0000000000000001E-3</v>
      </c>
      <c r="J359" s="76">
        <v>11.785</v>
      </c>
    </row>
    <row r="360" spans="2:10" x14ac:dyDescent="0.25">
      <c r="B360" s="76"/>
      <c r="C360" s="76" t="s">
        <v>251</v>
      </c>
      <c r="D360" s="76"/>
      <c r="E360" s="76">
        <v>9.0999999999999998E-2</v>
      </c>
      <c r="F360" s="76">
        <v>4.3999999999999997E-2</v>
      </c>
      <c r="G360" s="76"/>
      <c r="H360" s="76"/>
      <c r="I360" s="76"/>
      <c r="J360" s="76"/>
    </row>
    <row r="361" spans="2:10" x14ac:dyDescent="0.25">
      <c r="B361" s="76" t="s">
        <v>204</v>
      </c>
      <c r="C361" s="76" t="s">
        <v>252</v>
      </c>
      <c r="D361" s="76"/>
      <c r="E361" s="76">
        <v>0.14799999999999999</v>
      </c>
      <c r="F361" s="76">
        <v>0.10100000000000001</v>
      </c>
      <c r="G361" s="76">
        <v>2</v>
      </c>
      <c r="H361" s="76">
        <v>0.107</v>
      </c>
      <c r="I361" s="76">
        <v>8.9999999999999993E-3</v>
      </c>
      <c r="J361" s="76">
        <v>8.7029999999999994</v>
      </c>
    </row>
    <row r="362" spans="2:10" x14ac:dyDescent="0.25">
      <c r="B362" s="76"/>
      <c r="C362" s="76" t="s">
        <v>253</v>
      </c>
      <c r="D362" s="76"/>
      <c r="E362" s="76">
        <v>0.161</v>
      </c>
      <c r="F362" s="76">
        <v>0.114</v>
      </c>
      <c r="G362" s="76"/>
      <c r="H362" s="76"/>
      <c r="I362" s="76"/>
      <c r="J362" s="76"/>
    </row>
    <row r="363" spans="2:10" x14ac:dyDescent="0.25">
      <c r="B363" s="76" t="s">
        <v>210</v>
      </c>
      <c r="C363" s="76" t="s">
        <v>254</v>
      </c>
      <c r="D363" s="76"/>
      <c r="E363" s="76">
        <v>0.17599999999999999</v>
      </c>
      <c r="F363" s="76">
        <v>0.129</v>
      </c>
      <c r="G363" s="76">
        <v>2</v>
      </c>
      <c r="H363" s="76">
        <v>0.14099999999999999</v>
      </c>
      <c r="I363" s="76">
        <v>1.7000000000000001E-2</v>
      </c>
      <c r="J363" s="76">
        <v>11.901999999999999</v>
      </c>
    </row>
    <row r="364" spans="2:10" x14ac:dyDescent="0.25">
      <c r="B364" s="76"/>
      <c r="C364" s="76" t="s">
        <v>255</v>
      </c>
      <c r="D364" s="76"/>
      <c r="E364" s="76">
        <v>0.2</v>
      </c>
      <c r="F364" s="76">
        <v>0.153</v>
      </c>
      <c r="G364" s="76"/>
      <c r="H364" s="76"/>
      <c r="I364" s="76"/>
      <c r="J364" s="76"/>
    </row>
    <row r="365" spans="2:10" x14ac:dyDescent="0.25">
      <c r="B365" s="76" t="s">
        <v>216</v>
      </c>
      <c r="C365" s="76" t="s">
        <v>256</v>
      </c>
      <c r="D365" s="76"/>
      <c r="E365" s="76">
        <v>0.14499999999999999</v>
      </c>
      <c r="F365" s="76">
        <v>9.8000000000000004E-2</v>
      </c>
      <c r="G365" s="76">
        <v>2</v>
      </c>
      <c r="H365" s="76">
        <v>0.106</v>
      </c>
      <c r="I365" s="76">
        <v>1.2E-2</v>
      </c>
      <c r="J365" s="76">
        <v>11.16</v>
      </c>
    </row>
    <row r="366" spans="2:10" x14ac:dyDescent="0.25">
      <c r="B366" s="76"/>
      <c r="C366" s="76" t="s">
        <v>257</v>
      </c>
      <c r="D366" s="76"/>
      <c r="E366" s="76">
        <v>0.16200000000000001</v>
      </c>
      <c r="F366" s="76">
        <v>0.115</v>
      </c>
      <c r="G366" s="76"/>
      <c r="H366" s="76"/>
      <c r="I366" s="76"/>
      <c r="J366" s="76"/>
    </row>
    <row r="367" spans="2:10" x14ac:dyDescent="0.25">
      <c r="B367" s="76" t="s">
        <v>199</v>
      </c>
      <c r="C367" s="76" t="s">
        <v>258</v>
      </c>
      <c r="D367" s="76"/>
      <c r="E367" s="76">
        <v>8.6999999999999994E-2</v>
      </c>
      <c r="F367" s="76">
        <v>0.04</v>
      </c>
      <c r="G367" s="76">
        <v>2</v>
      </c>
      <c r="H367" s="76">
        <v>4.3999999999999997E-2</v>
      </c>
      <c r="I367" s="76">
        <v>6.0000000000000001E-3</v>
      </c>
      <c r="J367" s="76">
        <v>12.988</v>
      </c>
    </row>
    <row r="368" spans="2:10" x14ac:dyDescent="0.25">
      <c r="B368" s="76"/>
      <c r="C368" s="76" t="s">
        <v>259</v>
      </c>
      <c r="D368" s="76"/>
      <c r="E368" s="76">
        <v>9.6000000000000002E-2</v>
      </c>
      <c r="F368" s="76">
        <v>4.8000000000000001E-2</v>
      </c>
      <c r="G368" s="76"/>
      <c r="H368" s="76"/>
      <c r="I368" s="76"/>
      <c r="J368" s="76"/>
    </row>
    <row r="369" spans="2:10" x14ac:dyDescent="0.25">
      <c r="B369" s="76" t="s">
        <v>205</v>
      </c>
      <c r="C369" s="76" t="s">
        <v>260</v>
      </c>
      <c r="D369" s="76"/>
      <c r="E369" s="76">
        <v>0.158</v>
      </c>
      <c r="F369" s="76">
        <v>0.111</v>
      </c>
      <c r="G369" s="76">
        <v>2</v>
      </c>
      <c r="H369" s="76">
        <v>0.112</v>
      </c>
      <c r="I369" s="76">
        <v>1E-3</v>
      </c>
      <c r="J369" s="76">
        <v>1.014</v>
      </c>
    </row>
    <row r="370" spans="2:10" x14ac:dyDescent="0.25">
      <c r="B370" s="76"/>
      <c r="C370" s="76" t="s">
        <v>261</v>
      </c>
      <c r="D370" s="76"/>
      <c r="E370" s="76">
        <v>0.16</v>
      </c>
      <c r="F370" s="76">
        <v>0.112</v>
      </c>
      <c r="G370" s="76"/>
      <c r="H370" s="76"/>
      <c r="I370" s="76"/>
      <c r="J370" s="76"/>
    </row>
    <row r="371" spans="2:10" x14ac:dyDescent="0.25">
      <c r="B371" s="76" t="s">
        <v>211</v>
      </c>
      <c r="C371" s="76" t="s">
        <v>262</v>
      </c>
      <c r="D371" s="76"/>
      <c r="E371" s="76">
        <v>0.06</v>
      </c>
      <c r="F371" s="76">
        <v>1.2E-2</v>
      </c>
      <c r="G371" s="76">
        <v>2</v>
      </c>
      <c r="H371" s="76">
        <v>1.2E-2</v>
      </c>
      <c r="I371" s="76">
        <v>1E-3</v>
      </c>
      <c r="J371" s="76">
        <v>6.07</v>
      </c>
    </row>
    <row r="372" spans="2:10" x14ac:dyDescent="0.25">
      <c r="B372" s="76"/>
      <c r="C372" s="76" t="s">
        <v>263</v>
      </c>
      <c r="D372" s="76"/>
      <c r="E372" s="76">
        <v>5.8999999999999997E-2</v>
      </c>
      <c r="F372" s="76">
        <v>1.0999999999999999E-2</v>
      </c>
      <c r="G372" s="76"/>
      <c r="H372" s="76"/>
      <c r="I372" s="76"/>
      <c r="J372" s="76"/>
    </row>
    <row r="373" spans="2:10" x14ac:dyDescent="0.25">
      <c r="B373" s="76" t="s">
        <v>217</v>
      </c>
      <c r="C373" s="76" t="s">
        <v>264</v>
      </c>
      <c r="D373" s="76"/>
      <c r="E373" s="76">
        <v>0.13400000000000001</v>
      </c>
      <c r="F373" s="76">
        <v>8.5999999999999993E-2</v>
      </c>
      <c r="G373" s="76">
        <v>2</v>
      </c>
      <c r="H373" s="76">
        <v>0.08</v>
      </c>
      <c r="I373" s="76">
        <v>8.9999999999999993E-3</v>
      </c>
      <c r="J373" s="76">
        <v>11.239000000000001</v>
      </c>
    </row>
    <row r="374" spans="2:10" x14ac:dyDescent="0.25">
      <c r="B374" s="76"/>
      <c r="C374" s="76" t="s">
        <v>265</v>
      </c>
      <c r="D374" s="76"/>
      <c r="E374" s="76">
        <v>0.121</v>
      </c>
      <c r="F374" s="76">
        <v>7.3999999999999996E-2</v>
      </c>
      <c r="G374" s="76"/>
      <c r="H374" s="76"/>
      <c r="I374" s="76"/>
      <c r="J374" s="76"/>
    </row>
    <row r="375" spans="2:10" x14ac:dyDescent="0.25">
      <c r="B375" s="76" t="s">
        <v>98</v>
      </c>
      <c r="C375" s="76" t="s">
        <v>88</v>
      </c>
      <c r="D375" s="76">
        <v>0</v>
      </c>
      <c r="E375" s="76">
        <v>4.7E-2</v>
      </c>
      <c r="F375" s="76">
        <v>0</v>
      </c>
      <c r="G375" s="76">
        <v>2</v>
      </c>
      <c r="H375" s="76">
        <v>0</v>
      </c>
      <c r="I375" s="76">
        <v>0</v>
      </c>
      <c r="J375" s="76">
        <v>-56.569000000000003</v>
      </c>
    </row>
    <row r="376" spans="2:10" x14ac:dyDescent="0.25">
      <c r="B376" s="76"/>
      <c r="C376" s="76" t="s">
        <v>89</v>
      </c>
      <c r="D376" s="76">
        <v>0</v>
      </c>
      <c r="E376" s="76">
        <v>4.7E-2</v>
      </c>
      <c r="F376" s="76">
        <v>0</v>
      </c>
      <c r="G376" s="76"/>
      <c r="H376" s="76"/>
      <c r="I376" s="76"/>
      <c r="J376" s="76"/>
    </row>
    <row r="377" spans="2:10" x14ac:dyDescent="0.25">
      <c r="B377" s="76" t="s">
        <v>43</v>
      </c>
      <c r="C377" s="76" t="s">
        <v>91</v>
      </c>
      <c r="D377" s="76">
        <v>12.5</v>
      </c>
      <c r="E377" s="76">
        <v>5.6000000000000001E-2</v>
      </c>
      <c r="F377" s="76">
        <v>8.9999999999999993E-3</v>
      </c>
      <c r="G377" s="76">
        <v>2</v>
      </c>
      <c r="H377" s="76">
        <v>1.4999999999999999E-2</v>
      </c>
      <c r="I377" s="76">
        <v>8.9999999999999993E-3</v>
      </c>
      <c r="J377" s="76">
        <v>59.868000000000002</v>
      </c>
    </row>
    <row r="378" spans="2:10" x14ac:dyDescent="0.25">
      <c r="B378" s="76"/>
      <c r="C378" s="76" t="s">
        <v>90</v>
      </c>
      <c r="D378" s="76">
        <v>12.5</v>
      </c>
      <c r="E378" s="76">
        <v>6.9000000000000006E-2</v>
      </c>
      <c r="F378" s="76">
        <v>2.1000000000000001E-2</v>
      </c>
      <c r="G378" s="76"/>
      <c r="H378" s="76"/>
      <c r="I378" s="76"/>
      <c r="J378" s="76"/>
    </row>
    <row r="379" spans="2:10" x14ac:dyDescent="0.25">
      <c r="B379" s="76" t="s">
        <v>49</v>
      </c>
      <c r="C379" s="76" t="s">
        <v>92</v>
      </c>
      <c r="D379" s="76">
        <v>50</v>
      </c>
      <c r="E379" s="76">
        <v>9.1999999999999998E-2</v>
      </c>
      <c r="F379" s="76">
        <v>4.4999999999999998E-2</v>
      </c>
      <c r="G379" s="76">
        <v>2</v>
      </c>
      <c r="H379" s="76">
        <v>4.8000000000000001E-2</v>
      </c>
      <c r="I379" s="76">
        <v>4.0000000000000001E-3</v>
      </c>
      <c r="J379" s="76">
        <v>7.8570000000000002</v>
      </c>
    </row>
    <row r="380" spans="2:10" x14ac:dyDescent="0.25">
      <c r="B380" s="76"/>
      <c r="C380" s="76" t="s">
        <v>93</v>
      </c>
      <c r="D380" s="76">
        <v>50</v>
      </c>
      <c r="E380" s="76">
        <v>9.8000000000000004E-2</v>
      </c>
      <c r="F380" s="76">
        <v>0.05</v>
      </c>
      <c r="G380" s="76"/>
      <c r="H380" s="76"/>
      <c r="I380" s="76"/>
      <c r="J380" s="76"/>
    </row>
    <row r="381" spans="2:10" x14ac:dyDescent="0.25">
      <c r="B381" s="76" t="s">
        <v>102</v>
      </c>
      <c r="C381" s="76" t="s">
        <v>94</v>
      </c>
      <c r="D381" s="76">
        <v>100</v>
      </c>
      <c r="E381" s="76">
        <v>0.14399999999999999</v>
      </c>
      <c r="F381" s="76">
        <v>9.6000000000000002E-2</v>
      </c>
      <c r="G381" s="76">
        <v>2</v>
      </c>
      <c r="H381" s="76">
        <v>9.8000000000000004E-2</v>
      </c>
      <c r="I381" s="76">
        <v>2E-3</v>
      </c>
      <c r="J381" s="76">
        <v>2.5249999999999999</v>
      </c>
    </row>
    <row r="382" spans="2:10" x14ac:dyDescent="0.25">
      <c r="B382" s="76"/>
      <c r="C382" s="76" t="s">
        <v>95</v>
      </c>
      <c r="D382" s="76">
        <v>100</v>
      </c>
      <c r="E382" s="76">
        <v>0.14699999999999999</v>
      </c>
      <c r="F382" s="76">
        <v>0.1</v>
      </c>
      <c r="G382" s="76"/>
      <c r="H382" s="76"/>
      <c r="I382" s="76"/>
      <c r="J382" s="76"/>
    </row>
    <row r="383" spans="2:10" x14ac:dyDescent="0.25">
      <c r="B383" s="76" t="s">
        <v>55</v>
      </c>
      <c r="C383" s="76" t="s">
        <v>66</v>
      </c>
      <c r="D383" s="76">
        <v>150</v>
      </c>
      <c r="E383" s="76">
        <v>0.182</v>
      </c>
      <c r="F383" s="76">
        <v>0.13500000000000001</v>
      </c>
      <c r="G383" s="76">
        <v>2</v>
      </c>
      <c r="H383" s="76">
        <v>0.14399999999999999</v>
      </c>
      <c r="I383" s="76">
        <v>1.2999999999999999E-2</v>
      </c>
      <c r="J383" s="76">
        <v>9.2089999999999996</v>
      </c>
    </row>
    <row r="384" spans="2:10" x14ac:dyDescent="0.25">
      <c r="B384" s="76"/>
      <c r="C384" s="76" t="s">
        <v>67</v>
      </c>
      <c r="D384" s="76">
        <v>150</v>
      </c>
      <c r="E384" s="76">
        <v>0.20100000000000001</v>
      </c>
      <c r="F384" s="76">
        <v>0.154</v>
      </c>
      <c r="G384" s="76"/>
      <c r="H384" s="76"/>
      <c r="I384" s="76"/>
      <c r="J384" s="76"/>
    </row>
    <row r="385" spans="2:10" x14ac:dyDescent="0.25">
      <c r="B385" s="76" t="s">
        <v>134</v>
      </c>
      <c r="C385" s="76" t="s">
        <v>68</v>
      </c>
      <c r="D385" s="76">
        <v>200</v>
      </c>
      <c r="E385" s="76">
        <v>0.24099999999999999</v>
      </c>
      <c r="F385" s="76">
        <v>0.19400000000000001</v>
      </c>
      <c r="G385" s="76">
        <v>2</v>
      </c>
      <c r="H385" s="76">
        <v>0.20499999999999999</v>
      </c>
      <c r="I385" s="76">
        <v>1.4999999999999999E-2</v>
      </c>
      <c r="J385" s="76">
        <v>7.3979999999999997</v>
      </c>
    </row>
    <row r="386" spans="2:10" x14ac:dyDescent="0.25">
      <c r="B386" s="76"/>
      <c r="C386" s="76" t="s">
        <v>69</v>
      </c>
      <c r="D386" s="76">
        <v>200</v>
      </c>
      <c r="E386" s="76">
        <v>0.26300000000000001</v>
      </c>
      <c r="F386" s="76">
        <v>0.215</v>
      </c>
      <c r="G386" s="76"/>
      <c r="H386" s="76"/>
      <c r="I386" s="76"/>
      <c r="J386" s="76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8440-9CFD-43DB-BBFF-DA3BD18A84A9}">
  <dimension ref="A1:AA1000"/>
  <sheetViews>
    <sheetView zoomScale="93" zoomScaleNormal="50" workbookViewId="0">
      <selection activeCell="B6" sqref="B6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Plate1_RawData_11_27!E291</f>
        <v>4.2999999999999997E-2</v>
      </c>
      <c r="C2" s="20">
        <f>AVERAGE(B2,B3)</f>
        <v>4.2999999999999997E-2</v>
      </c>
      <c r="D2" s="20">
        <f>100*(STDEV(B2,B3)/C2)</f>
        <v>0</v>
      </c>
      <c r="E2" s="1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1.0000000000000009E-3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Plate1_RawData_11_27!E292</f>
        <v>4.2999999999999997E-2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1.3000000000000005E-2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Plate1_RawData_11_27!E341</f>
        <v>4.2999999999999997E-2</v>
      </c>
      <c r="C4" s="20">
        <f>AVERAGE(B4,B5)</f>
        <v>4.3999999999999997E-2</v>
      </c>
      <c r="D4" s="20">
        <f>100*(STDEV(B4,B5)/C4)</f>
        <v>3.2141217326661282</v>
      </c>
      <c r="E4" s="19" t="s">
        <v>267</v>
      </c>
      <c r="F4" s="20">
        <f>C4-$C$2</f>
        <v>1.0000000000000009E-3</v>
      </c>
      <c r="G4" s="19"/>
      <c r="H4" s="20">
        <v>0</v>
      </c>
      <c r="I4" s="19"/>
      <c r="J4" s="19"/>
      <c r="K4" s="21">
        <v>50</v>
      </c>
      <c r="L4" s="20">
        <f>F8</f>
        <v>4.9500000000000002E-2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Plate1_RawData_11_27!E342</f>
        <v>4.4999999999999998E-2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9.9500000000000019E-2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Plate1_RawData_11_27!E377</f>
        <v>5.6000000000000001E-2</v>
      </c>
      <c r="C6" s="20">
        <f>AVERAGE(B6,B7)</f>
        <v>5.6000000000000001E-2</v>
      </c>
      <c r="D6" s="20">
        <f>100*(STDEV(B6,B7)/C6)</f>
        <v>0</v>
      </c>
      <c r="E6" s="19"/>
      <c r="F6" s="20">
        <f>C6-$C$2</f>
        <v>1.3000000000000005E-2</v>
      </c>
      <c r="G6" s="19"/>
      <c r="H6" s="20">
        <v>12.5</v>
      </c>
      <c r="I6" s="19"/>
      <c r="J6" s="19"/>
      <c r="K6" s="21">
        <v>150</v>
      </c>
      <c r="L6" s="20">
        <f>F12</f>
        <v>0.16899999999999998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Plate1_RawData_11_27!E378</f>
        <v>5.6000000000000001E-2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0.24300000000000005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Plate1_RawData_11_27!E379</f>
        <v>8.7999999999999995E-2</v>
      </c>
      <c r="C8" s="20">
        <f>AVERAGE(B8,B9)</f>
        <v>9.2499999999999999E-2</v>
      </c>
      <c r="D8" s="20">
        <f>100*(STDEV(B8,B9)/C8)</f>
        <v>6.8799578710042528</v>
      </c>
      <c r="E8" s="19"/>
      <c r="F8" s="20">
        <f>C8-$C$2</f>
        <v>4.9500000000000002E-2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Plate1_RawData_11_27!E380</f>
        <v>9.7000000000000003E-2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1.1999999999999999E-3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Plate1_RawData_11_27!E381</f>
        <v>0.14000000000000001</v>
      </c>
      <c r="C10" s="20">
        <f>AVERAGE(B10,B11)</f>
        <v>0.14250000000000002</v>
      </c>
      <c r="D10" s="20">
        <f>100*(STDEV(B10,B11)/C10)</f>
        <v>2.4810764252159445</v>
      </c>
      <c r="E10" s="19"/>
      <c r="F10" s="20">
        <f>C10-$C$2</f>
        <v>9.9500000000000019E-2</v>
      </c>
      <c r="G10" s="19"/>
      <c r="H10" s="20">
        <v>100</v>
      </c>
      <c r="I10" s="19"/>
      <c r="J10" s="20"/>
      <c r="K10" s="18" t="s">
        <v>15</v>
      </c>
      <c r="L10" s="20">
        <v>6.0000000000000001E-3</v>
      </c>
      <c r="M10" s="20"/>
    </row>
    <row r="11" spans="1:26" ht="15.75" customHeight="1" x14ac:dyDescent="0.3">
      <c r="A11" s="20" t="s">
        <v>160</v>
      </c>
      <c r="B11" s="20">
        <f>Plate1_RawData_11_27!E382</f>
        <v>0.14499999999999999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Plate1_RawData_11_27!E383</f>
        <v>0.20599999999999999</v>
      </c>
      <c r="C12" s="20">
        <f>AVERAGE(B12,B13)</f>
        <v>0.21199999999999999</v>
      </c>
      <c r="D12" s="20">
        <f>100*(STDEV(B12,B13)/C12)</f>
        <v>4.0024912142634799</v>
      </c>
      <c r="E12" s="19"/>
      <c r="F12" s="20">
        <f>C12-$C$2</f>
        <v>0.16899999999999998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Plate1_RawData_11_27!E384</f>
        <v>0.218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Plate1_RawData_11_27!E385</f>
        <v>0.32100000000000001</v>
      </c>
      <c r="C14" s="20">
        <f>AVERAGE(B14,B15)</f>
        <v>0.28600000000000003</v>
      </c>
      <c r="D14" s="20">
        <f>100*(STDEV(B14,B15)/C14)</f>
        <v>17.306809329740599</v>
      </c>
      <c r="E14" s="19"/>
      <c r="F14" s="20">
        <f>C14-$C$2</f>
        <v>0.24300000000000005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Plate1_RawData_11_27!E386</f>
        <v>0.251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Plate1_RawData_11_27!E293</f>
        <v>0.14899999999999999</v>
      </c>
      <c r="C21" s="24">
        <f>AVERAGE(B21,B22)</f>
        <v>0.1585</v>
      </c>
      <c r="D21" s="24">
        <f>100*(STDEV(B21,B22)/C21)</f>
        <v>8.4763588911952148</v>
      </c>
      <c r="E21" s="24">
        <f>C21-$C$2</f>
        <v>0.11550000000000001</v>
      </c>
      <c r="F21" s="24">
        <f>(E21-$L$10)/$L$9</f>
        <v>91.250000000000014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Plate1_RawData_11_27!E294</f>
        <v>0.16800000000000001</v>
      </c>
      <c r="C22" s="24"/>
      <c r="D22" s="24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8" t="s">
        <v>268</v>
      </c>
      <c r="B23" s="20">
        <f>Plate1_RawData_11_27!E295</f>
        <v>0.113</v>
      </c>
      <c r="C23" s="24">
        <f>AVERAGE(B23,B24)</f>
        <v>0.11599999999999999</v>
      </c>
      <c r="D23" s="24">
        <f>100*(STDEV(B23,B24)/C23)</f>
        <v>3.6574488682062749</v>
      </c>
      <c r="E23" s="24">
        <f>C23-$C$2</f>
        <v>7.2999999999999995E-2</v>
      </c>
      <c r="F23" s="24">
        <f>(E23-$L$10)/$L$9</f>
        <v>55.833333333333329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Plate1_RawData_11_27!E296</f>
        <v>0.11899999999999999</v>
      </c>
      <c r="C24" s="24"/>
      <c r="D24" s="24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269</v>
      </c>
      <c r="B25" s="20">
        <f>Plate1_RawData_11_27!E297</f>
        <v>0.108</v>
      </c>
      <c r="C25" s="25">
        <f>AVERAGE(B25,B26)</f>
        <v>0.1095</v>
      </c>
      <c r="D25" s="25">
        <f>100*(STDEV(B25,B26)/C25)</f>
        <v>1.9372788525658855</v>
      </c>
      <c r="E25" s="25">
        <f>C25-$C$2</f>
        <v>6.6500000000000004E-2</v>
      </c>
      <c r="F25" s="25">
        <f>(E25-$L$10)/$L$9</f>
        <v>50.416666666666679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/>
      <c r="B26" s="20">
        <f>Plate1_RawData_11_27!E298</f>
        <v>0.111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55" t="s">
        <v>163</v>
      </c>
      <c r="B27" s="20">
        <f>Plate1_RawData_11_27!E299</f>
        <v>4.2999999999999997E-2</v>
      </c>
      <c r="C27" s="24">
        <f>AVERAGE(B27,B28)</f>
        <v>4.2999999999999997E-2</v>
      </c>
      <c r="D27" s="25">
        <f>100*(STDEV(B27,B28)/C27)</f>
        <v>0</v>
      </c>
      <c r="E27" s="24">
        <f>C27-$C$2</f>
        <v>0</v>
      </c>
      <c r="F27" s="24">
        <f>(E27-$L$10)/$L$9</f>
        <v>-5.0000000000000009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55"/>
      <c r="B28" s="20">
        <f>Plate1_RawData_11_27!E300</f>
        <v>4.2999999999999997E-2</v>
      </c>
      <c r="C28" s="24"/>
      <c r="D28" s="24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8" t="s">
        <v>270</v>
      </c>
      <c r="B29" s="20">
        <f>Plate1_RawData_11_27!E301</f>
        <v>0.114</v>
      </c>
      <c r="C29" s="25">
        <f>AVERAGE(B29,B30)</f>
        <v>0.122</v>
      </c>
      <c r="D29" s="25">
        <f>100*(STDEV(B29,B30)/C29)</f>
        <v>9.2735315565448868</v>
      </c>
      <c r="E29" s="24">
        <f>C29-$C$2</f>
        <v>7.9000000000000001E-2</v>
      </c>
      <c r="F29" s="24">
        <f>(E29-$L$10)/$L$9</f>
        <v>60.833333333333336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8"/>
      <c r="B30" s="20">
        <f>Plate1_RawData_11_27!E302</f>
        <v>0.13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8" t="s">
        <v>271</v>
      </c>
      <c r="B31" s="20">
        <f>Plate1_RawData_11_27!E303</f>
        <v>5.2999999999999999E-2</v>
      </c>
      <c r="C31" s="24">
        <f>AVERAGE(B31,B32)</f>
        <v>5.5999999999999994E-2</v>
      </c>
      <c r="D31" s="24">
        <f>100*(STDEV(B31,B32)/C31)</f>
        <v>7.5761440841415801</v>
      </c>
      <c r="E31" s="24">
        <f>C31-$C$2</f>
        <v>1.2999999999999998E-2</v>
      </c>
      <c r="F31" s="24">
        <f>(E31-$L$10)/$L$9</f>
        <v>5.8333333333333321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Plate1_RawData_11_27!E304</f>
        <v>5.8999999999999997E-2</v>
      </c>
      <c r="C32" s="24"/>
      <c r="D32" s="24"/>
      <c r="E32" s="24"/>
      <c r="F32" s="24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0" t="s">
        <v>272</v>
      </c>
      <c r="B33" s="20">
        <f>Plate1_RawData_11_27!E305</f>
        <v>0.215</v>
      </c>
      <c r="C33" s="24">
        <f>AVERAGE(B33,B34)</f>
        <v>0.17199999999999999</v>
      </c>
      <c r="D33" s="31">
        <f>100*(STDEV(B33,B34)/C33)</f>
        <v>35.355339059327378</v>
      </c>
      <c r="E33" s="24">
        <f>C33-$C$2</f>
        <v>0.129</v>
      </c>
      <c r="F33" s="24">
        <f>(E33-$L$10)/$L$9</f>
        <v>102.50000000000001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0"/>
      <c r="B34" s="20">
        <f>Plate1_RawData_11_27!E306</f>
        <v>0.129</v>
      </c>
      <c r="C34" s="24"/>
      <c r="D34" s="24"/>
      <c r="E34" s="24"/>
      <c r="F34" s="24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0" t="s">
        <v>273</v>
      </c>
      <c r="B35" s="20">
        <f>Plate1_RawData_11_27!E307</f>
        <v>0.16200000000000001</v>
      </c>
      <c r="C35" s="25">
        <f>AVERAGE(B35,B36)</f>
        <v>0.17499999999999999</v>
      </c>
      <c r="D35" s="32">
        <f>100*(STDEV(B35,B36)/C35)</f>
        <v>10.50558646334299</v>
      </c>
      <c r="E35" s="25">
        <f>C35-$C$2</f>
        <v>0.13200000000000001</v>
      </c>
      <c r="F35" s="25">
        <f>(E35-$L$10)/$L$9</f>
        <v>105.00000000000001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/>
      <c r="B36" s="20">
        <f>Plate1_RawData_11_27!E308</f>
        <v>0.188</v>
      </c>
      <c r="C36" s="25"/>
      <c r="D36" s="25"/>
      <c r="E36" s="25"/>
      <c r="F36" s="2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77" t="s">
        <v>274</v>
      </c>
      <c r="B37" s="20">
        <f>Plate1_RawData_11_27!E309</f>
        <v>0.152</v>
      </c>
      <c r="C37" s="24">
        <f>AVERAGE(B37,B38)</f>
        <v>0.159</v>
      </c>
      <c r="D37" s="25">
        <f>100*(STDEV(B37,B38)/C37)</f>
        <v>6.2260974444098576</v>
      </c>
      <c r="E37" s="24">
        <f>C37-$C$2</f>
        <v>0.11600000000000001</v>
      </c>
      <c r="F37" s="24">
        <f>(E37-$L$10)/$L$9</f>
        <v>91.666666666666671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77"/>
      <c r="B38" s="20">
        <f>Plate1_RawData_11_27!E310</f>
        <v>0.16600000000000001</v>
      </c>
      <c r="C38" s="24"/>
      <c r="D38" s="24"/>
      <c r="E38" s="24"/>
      <c r="F38" s="2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8" t="s">
        <v>275</v>
      </c>
      <c r="B39" s="20">
        <f>Plate1_RawData_11_27!E311</f>
        <v>0.108</v>
      </c>
      <c r="C39" s="25">
        <f>AVERAGE(B39,B40)</f>
        <v>0.1125</v>
      </c>
      <c r="D39" s="25">
        <f>100*(STDEV(B39,B40)/C39)</f>
        <v>5.6568542494923841</v>
      </c>
      <c r="E39" s="24">
        <f>C39-$C$2</f>
        <v>6.9500000000000006E-2</v>
      </c>
      <c r="F39" s="24">
        <f>(E39-$L$10)/$L$9</f>
        <v>52.916666666666671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/>
      <c r="B40" s="20">
        <f>Plate1_RawData_11_27!E312</f>
        <v>0.11700000000000001</v>
      </c>
      <c r="C40" s="25"/>
      <c r="D40" s="25"/>
      <c r="E40" s="25"/>
      <c r="F40" s="2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0" t="s">
        <v>276</v>
      </c>
      <c r="B41" s="20">
        <f>Plate1_RawData_11_27!E313</f>
        <v>6.7000000000000004E-2</v>
      </c>
      <c r="C41" s="24">
        <f>AVERAGE(B41,B42)</f>
        <v>6.5500000000000003E-2</v>
      </c>
      <c r="D41" s="24">
        <f>100*(STDEV(B41,B42)/C41)</f>
        <v>3.2386570130681593</v>
      </c>
      <c r="E41" s="24">
        <f>C41-$C$2</f>
        <v>2.2500000000000006E-2</v>
      </c>
      <c r="F41" s="24">
        <f>(E41-$L$10)/$L$9</f>
        <v>13.750000000000007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/>
      <c r="B42" s="20">
        <f>Plate1_RawData_11_27!E314</f>
        <v>6.4000000000000001E-2</v>
      </c>
      <c r="C42" s="24"/>
      <c r="D42" s="24"/>
      <c r="E42" s="24"/>
      <c r="F42" s="24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277</v>
      </c>
      <c r="B43" s="20">
        <f>Plate1_RawData_11_27!E315</f>
        <v>0.14499999999999999</v>
      </c>
      <c r="C43" s="24">
        <f>AVERAGE(B43,B44)</f>
        <v>0.13850000000000001</v>
      </c>
      <c r="D43" s="24">
        <f>100*(STDEV(B43,B44)/C43)</f>
        <v>6.6371033613177657</v>
      </c>
      <c r="E43" s="24">
        <f>C43-$C$2</f>
        <v>9.5500000000000015E-2</v>
      </c>
      <c r="F43" s="24">
        <f>(E43-$L$10)/$L$9</f>
        <v>74.583333333333343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Plate1_RawData_11_27!E316</f>
        <v>0.13200000000000001</v>
      </c>
      <c r="C44" s="24"/>
      <c r="D44" s="24"/>
      <c r="E44" s="24"/>
      <c r="F44" s="24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38" t="s">
        <v>278</v>
      </c>
      <c r="B45" s="20">
        <f>Plate1_RawData_11_27!E317</f>
        <v>4.7E-2</v>
      </c>
      <c r="C45" s="25">
        <f>AVERAGE(B45,B46)</f>
        <v>4.65E-2</v>
      </c>
      <c r="D45" s="25">
        <f>100*(STDEV(B45,B46)/C45)</f>
        <v>1.5206597444872005</v>
      </c>
      <c r="E45" s="25">
        <f>C45-$C$2</f>
        <v>3.5000000000000031E-3</v>
      </c>
      <c r="F45" s="25">
        <f>(E45-$L$10)/$L$9</f>
        <v>-2.0833333333333308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/>
      <c r="B46" s="20">
        <f>Plate1_RawData_11_27!E318</f>
        <v>4.5999999999999999E-2</v>
      </c>
      <c r="C46" s="25"/>
      <c r="D46" s="25"/>
      <c r="E46" s="25"/>
      <c r="F46" s="25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0" t="s">
        <v>279</v>
      </c>
      <c r="B47" s="20">
        <f>Plate1_RawData_11_27!E319</f>
        <v>5.8000000000000003E-2</v>
      </c>
      <c r="C47" s="24">
        <f>AVERAGE(B47,B48)</f>
        <v>5.8499999999999996E-2</v>
      </c>
      <c r="D47" s="25">
        <f>100*(STDEV(B47,B48)/C47)</f>
        <v>1.2087295404898177</v>
      </c>
      <c r="E47" s="24">
        <f>C47-$C$2</f>
        <v>1.55E-2</v>
      </c>
      <c r="F47" s="24">
        <f>(E47-$L$10)/$L$9</f>
        <v>7.916666666666667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0"/>
      <c r="B48" s="20">
        <f>Plate1_RawData_11_27!E320</f>
        <v>5.8999999999999997E-2</v>
      </c>
      <c r="C48" s="24"/>
      <c r="D48" s="24"/>
      <c r="E48" s="24"/>
      <c r="F48" s="2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30" t="s">
        <v>280</v>
      </c>
      <c r="B49" s="20">
        <f>Plate1_RawData_11_27!E321</f>
        <v>0.123</v>
      </c>
      <c r="C49" s="25">
        <f>AVERAGE(B49,B50)</f>
        <v>0.12</v>
      </c>
      <c r="D49" s="25">
        <f>100*(STDEV(B49,B50)/C49)</f>
        <v>3.5355339059327329</v>
      </c>
      <c r="E49" s="24">
        <f>C49-$C$2</f>
        <v>7.6999999999999999E-2</v>
      </c>
      <c r="F49" s="24">
        <f>(E49-$L$10)/$L$9</f>
        <v>59.166666666666664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30"/>
      <c r="B50" s="20">
        <f>Plate1_RawData_11_27!E322</f>
        <v>0.11700000000000001</v>
      </c>
      <c r="C50" s="25"/>
      <c r="D50" s="25"/>
      <c r="E50" s="25"/>
      <c r="F50" s="2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38" t="s">
        <v>281</v>
      </c>
      <c r="B51" s="20">
        <f>Plate1_RawData_11_27!E323</f>
        <v>4.2999999999999997E-2</v>
      </c>
      <c r="C51" s="24">
        <f>AVERAGE(B51,B52)</f>
        <v>4.2999999999999997E-2</v>
      </c>
      <c r="D51" s="24">
        <f>100*(STDEV(B51,B52)/C51)</f>
        <v>0</v>
      </c>
      <c r="E51" s="24">
        <f>C51-$C$2</f>
        <v>0</v>
      </c>
      <c r="F51" s="24">
        <f>(E51-$L$10)/$L$9</f>
        <v>-5.0000000000000009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38"/>
      <c r="B52" s="20">
        <f>Plate1_RawData_11_27!E324</f>
        <v>4.2999999999999997E-2</v>
      </c>
      <c r="C52" s="24"/>
      <c r="D52" s="24"/>
      <c r="E52" s="24"/>
      <c r="F52" s="2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55" t="s">
        <v>165</v>
      </c>
      <c r="B53" s="20">
        <f>Plate1_RawData_11_27!E325</f>
        <v>0.106</v>
      </c>
      <c r="C53" s="24">
        <f>AVERAGE(B53,B54)</f>
        <v>0.104</v>
      </c>
      <c r="D53" s="24">
        <f>100*(STDEV(B53,B54)/C53)</f>
        <v>2.7196414661021082</v>
      </c>
      <c r="E53" s="24">
        <f>C53-$C$2</f>
        <v>6.0999999999999999E-2</v>
      </c>
      <c r="F53" s="24">
        <f>(E53-$L$10)/$L$9</f>
        <v>45.833333333333336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55"/>
      <c r="B54" s="20">
        <f>Plate1_RawData_11_27!E326</f>
        <v>0.10199999999999999</v>
      </c>
      <c r="C54" s="24"/>
      <c r="D54" s="24"/>
      <c r="E54" s="24"/>
      <c r="F54" s="2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30" t="s">
        <v>282</v>
      </c>
      <c r="B55" s="20">
        <f>Plate1_RawData_11_27!E327</f>
        <v>0.188</v>
      </c>
      <c r="C55" s="25">
        <f>AVERAGE(B55,B56)</f>
        <v>0.20450000000000002</v>
      </c>
      <c r="D55" s="32">
        <f>100*(STDEV(B55,B56)/C55)</f>
        <v>11.41052507538194</v>
      </c>
      <c r="E55" s="25">
        <f>C55-$C$2</f>
        <v>0.16150000000000003</v>
      </c>
      <c r="F55" s="25">
        <f>(E55-$L$10)/$L$9</f>
        <v>129.58333333333337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30"/>
      <c r="B56" s="20">
        <f>Plate1_RawData_11_27!E328</f>
        <v>0.221</v>
      </c>
      <c r="C56" s="25"/>
      <c r="D56" s="25"/>
      <c r="E56" s="25"/>
      <c r="F56" s="25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38" t="s">
        <v>283</v>
      </c>
      <c r="B57" s="20">
        <f>Plate1_RawData_11_27!E329</f>
        <v>0.1</v>
      </c>
      <c r="C57" s="24">
        <f>AVERAGE(B57,B58)</f>
        <v>9.0999999999999998E-2</v>
      </c>
      <c r="D57" s="32">
        <f>100*(STDEV(B57,B58)/C57)</f>
        <v>13.986727539953689</v>
      </c>
      <c r="E57" s="24">
        <f>C57-$C$2</f>
        <v>4.8000000000000001E-2</v>
      </c>
      <c r="F57" s="24">
        <f>(E57-$L$10)/$L$9</f>
        <v>35.000000000000007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38"/>
      <c r="B58" s="20">
        <f>Plate1_RawData_11_27!E330</f>
        <v>8.2000000000000003E-2</v>
      </c>
      <c r="C58" s="24"/>
      <c r="D58" s="24"/>
      <c r="E58" s="24"/>
      <c r="F58" s="24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38" t="s">
        <v>284</v>
      </c>
      <c r="B59" s="20">
        <f>Plate1_RawData_11_27!E331</f>
        <v>9.6000000000000002E-2</v>
      </c>
      <c r="C59" s="25">
        <f>AVERAGE(B59,B60)</f>
        <v>9.8500000000000004E-2</v>
      </c>
      <c r="D59" s="25">
        <f>100*(STDEV(B59,B60)/C59)</f>
        <v>3.5893745237895844</v>
      </c>
      <c r="E59" s="24">
        <f>C59-$C$2</f>
        <v>5.5500000000000008E-2</v>
      </c>
      <c r="F59" s="24">
        <f>(E59-$L$10)/$L$9</f>
        <v>41.250000000000014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38"/>
      <c r="B60" s="20">
        <f>Plate1_RawData_11_27!E332</f>
        <v>0.10100000000000001</v>
      </c>
      <c r="C60" s="25"/>
      <c r="D60" s="25"/>
      <c r="E60" s="25"/>
      <c r="F60" s="25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38" t="s">
        <v>285</v>
      </c>
      <c r="B61" s="20">
        <f>Plate1_RawData_11_27!E333</f>
        <v>0.16400000000000001</v>
      </c>
      <c r="C61" s="24">
        <f>AVERAGE(B61,B62)</f>
        <v>0.157</v>
      </c>
      <c r="D61" s="24">
        <f>100*(STDEV(B61,B62)/C61)</f>
        <v>6.3054107876507475</v>
      </c>
      <c r="E61" s="24">
        <f>C61-$C$2</f>
        <v>0.114</v>
      </c>
      <c r="F61" s="24">
        <f>(E61-$L$10)/$L$9</f>
        <v>90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38"/>
      <c r="B62" s="20">
        <f>Plate1_RawData_11_27!E334</f>
        <v>0.15</v>
      </c>
      <c r="C62" s="24"/>
      <c r="D62" s="24"/>
      <c r="E62" s="24"/>
      <c r="F62" s="2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38" t="s">
        <v>286</v>
      </c>
      <c r="B63" s="20">
        <f>Plate1_RawData_11_27!E335</f>
        <v>8.1000000000000003E-2</v>
      </c>
      <c r="C63" s="24">
        <f>AVERAGE(B63,B64)</f>
        <v>8.3999999999999991E-2</v>
      </c>
      <c r="D63" s="24">
        <f>100*(STDEV(B63,B64)/C63)</f>
        <v>5.0507627227610463</v>
      </c>
      <c r="E63" s="24">
        <f>C63-$C$2</f>
        <v>4.0999999999999995E-2</v>
      </c>
      <c r="F63" s="24">
        <f>(E63-$L$10)/$L$9</f>
        <v>29.166666666666668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38"/>
      <c r="B64" s="20">
        <f>Plate1_RawData_11_27!E336</f>
        <v>8.6999999999999994E-2</v>
      </c>
      <c r="C64" s="24"/>
      <c r="D64" s="24"/>
      <c r="E64" s="24"/>
      <c r="F64" s="2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38" t="s">
        <v>287</v>
      </c>
      <c r="B65" s="20">
        <f>Plate1_RawData_11_27!E337</f>
        <v>0.23400000000000001</v>
      </c>
      <c r="C65" s="25">
        <f>AVERAGE(B65,B66)</f>
        <v>0.23649999999999999</v>
      </c>
      <c r="D65" s="25">
        <f>100*(STDEV(B65,B66)/C65)</f>
        <v>1.4949403407749351</v>
      </c>
      <c r="E65" s="25">
        <f>C65-$C$2</f>
        <v>0.19350000000000001</v>
      </c>
      <c r="F65" s="25">
        <f>(E65-$L$10)/$L$9</f>
        <v>156.25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38"/>
      <c r="B66" s="20">
        <f>Plate1_RawData_11_27!E338</f>
        <v>0.23899999999999999</v>
      </c>
      <c r="C66" s="25"/>
      <c r="D66" s="25"/>
      <c r="E66" s="25"/>
      <c r="F66" s="2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30" t="s">
        <v>169</v>
      </c>
      <c r="B67" s="20">
        <f>Plate1_RawData_11_27!E339</f>
        <v>0.10299999999999999</v>
      </c>
      <c r="C67" s="24">
        <f>AVERAGE(B67,B68)</f>
        <v>0.11149999999999999</v>
      </c>
      <c r="D67" s="25">
        <f>100*(STDEV(B67,B68)/C67)</f>
        <v>10.781000251274717</v>
      </c>
      <c r="E67" s="24">
        <f>C67-$C$2</f>
        <v>6.8499999999999991E-2</v>
      </c>
      <c r="F67" s="24">
        <f>(E67-$L$10)/$L$9</f>
        <v>52.083333333333329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30"/>
      <c r="B68" s="20">
        <f>Plate1_RawData_11_27!E340</f>
        <v>0.12</v>
      </c>
      <c r="C68" s="24"/>
      <c r="D68" s="24"/>
      <c r="E68" s="24"/>
      <c r="F68" s="24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30" t="s">
        <v>288</v>
      </c>
      <c r="B69" s="20">
        <f>Plate1_RawData_11_27!E341</f>
        <v>4.2999999999999997E-2</v>
      </c>
      <c r="C69" s="25">
        <f>AVERAGE(B69,B70)</f>
        <v>4.3999999999999997E-2</v>
      </c>
      <c r="D69" s="25">
        <f>100*(STDEV(B69,B70)/C69)</f>
        <v>3.2141217326661282</v>
      </c>
      <c r="E69" s="24">
        <f>C69-$C$2</f>
        <v>1.0000000000000009E-3</v>
      </c>
      <c r="F69" s="24">
        <f>(E69-$L$10)/$L$9</f>
        <v>-4.1666666666666661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30"/>
      <c r="B70" s="20">
        <f>Plate1_RawData_11_27!E342</f>
        <v>4.4999999999999998E-2</v>
      </c>
      <c r="C70" s="25"/>
      <c r="D70" s="25"/>
      <c r="E70" s="25"/>
      <c r="F70" s="2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77" t="s">
        <v>170</v>
      </c>
      <c r="B71" s="20">
        <f>Plate1_RawData_11_27!E343</f>
        <v>7.2999999999999995E-2</v>
      </c>
      <c r="C71" s="24">
        <f>AVERAGE(B71,B72)</f>
        <v>7.5999999999999998E-2</v>
      </c>
      <c r="D71" s="24">
        <f>100*(STDEV(B71,B72)/C71)</f>
        <v>5.5824219567359075</v>
      </c>
      <c r="E71" s="24">
        <f>C71-$C$2</f>
        <v>3.3000000000000002E-2</v>
      </c>
      <c r="F71" s="24">
        <f>(E71-$L$10)/$L$9</f>
        <v>22.500000000000004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77"/>
      <c r="B72" s="20">
        <f>Plate1_RawData_11_27!E344</f>
        <v>7.9000000000000001E-2</v>
      </c>
      <c r="C72" s="24"/>
      <c r="D72" s="24"/>
      <c r="E72" s="24"/>
      <c r="F72" s="24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38" t="s">
        <v>289</v>
      </c>
      <c r="B73" s="20">
        <f>Plate1_RawData_11_27!E345</f>
        <v>5.5E-2</v>
      </c>
      <c r="C73" s="24">
        <f>AVERAGE(B73,B74)</f>
        <v>5.6999999999999995E-2</v>
      </c>
      <c r="D73" s="24">
        <f>100*(STDEV(B73,B74)/C73)</f>
        <v>4.9621528504319095</v>
      </c>
      <c r="E73" s="24">
        <f>C73-$C$2</f>
        <v>1.3999999999999999E-2</v>
      </c>
      <c r="F73" s="24">
        <f>(E73-$L$10)/$L$9</f>
        <v>6.6666666666666661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38"/>
      <c r="B74" s="20">
        <f>Plate1_RawData_11_27!E346</f>
        <v>5.8999999999999997E-2</v>
      </c>
      <c r="C74" s="24"/>
      <c r="D74" s="24"/>
      <c r="E74" s="24"/>
      <c r="F74" s="24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38" t="s">
        <v>290</v>
      </c>
      <c r="B75" s="20">
        <f>Plate1_RawData_11_27!E347</f>
        <v>4.2999999999999997E-2</v>
      </c>
      <c r="C75" s="25">
        <f>AVERAGE(B75,B76)</f>
        <v>7.9500000000000001E-2</v>
      </c>
      <c r="D75" s="32">
        <f>100*(STDEV(B75,B76)/C75)</f>
        <v>64.929301920274185</v>
      </c>
      <c r="E75" s="25">
        <f>C75-$C$2</f>
        <v>3.6500000000000005E-2</v>
      </c>
      <c r="F75" s="25">
        <f>(E75-$L$10)/$L$9</f>
        <v>25.416666666666675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38"/>
      <c r="B76" s="20">
        <f>Plate1_RawData_11_27!E348</f>
        <v>0.11600000000000001</v>
      </c>
      <c r="C76" s="25"/>
      <c r="D76" s="25"/>
      <c r="E76" s="25"/>
      <c r="F76" s="25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30" t="s">
        <v>291</v>
      </c>
      <c r="B77" s="20">
        <f>Plate1_RawData_11_27!E349</f>
        <v>0.11899999999999999</v>
      </c>
      <c r="C77" s="24">
        <f>AVERAGE(B77,B78)</f>
        <v>0.1295</v>
      </c>
      <c r="D77" s="32">
        <f>100*(STDEV(B77,B78)/C77)</f>
        <v>11.466596451673754</v>
      </c>
      <c r="E77" s="24">
        <f>C77-$C$2</f>
        <v>8.6500000000000007E-2</v>
      </c>
      <c r="F77" s="24">
        <f>(E77-$L$10)/$L$9</f>
        <v>67.083333333333343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30"/>
      <c r="B78" s="20">
        <f>Plate1_RawData_11_27!E350</f>
        <v>0.14000000000000001</v>
      </c>
      <c r="C78" s="24"/>
      <c r="D78" s="24"/>
      <c r="E78" s="24"/>
      <c r="F78" s="24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30" t="s">
        <v>292</v>
      </c>
      <c r="B79" s="20">
        <f>Plate1_RawData_11_27!E351</f>
        <v>0.111</v>
      </c>
      <c r="C79" s="25">
        <f>AVERAGE(B79,B80)</f>
        <v>0.11749999999999999</v>
      </c>
      <c r="D79" s="25">
        <f>100*(STDEV(B79,B80)/C79)</f>
        <v>7.8233090684469087</v>
      </c>
      <c r="E79" s="24">
        <f>C79-$C$2</f>
        <v>7.4499999999999997E-2</v>
      </c>
      <c r="F79" s="24">
        <f>(E79-$L$10)/$L$9</f>
        <v>57.083333333333329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30"/>
      <c r="B80" s="20">
        <f>Plate1_RawData_11_27!E352</f>
        <v>0.124</v>
      </c>
      <c r="C80" s="25"/>
      <c r="D80" s="25"/>
      <c r="E80" s="25"/>
      <c r="F80" s="25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38" t="s">
        <v>293</v>
      </c>
      <c r="B81" s="20">
        <f>Plate1_RawData_11_27!E353</f>
        <v>0.19700000000000001</v>
      </c>
      <c r="C81" s="24">
        <f>AVERAGE(B81,B82)</f>
        <v>0.20750000000000002</v>
      </c>
      <c r="D81" s="24">
        <f>100*(STDEV(B81,B82)/C81)</f>
        <v>7.1562613999602371</v>
      </c>
      <c r="E81" s="24">
        <f>C81-$C$2</f>
        <v>0.16450000000000004</v>
      </c>
      <c r="F81" s="24">
        <f>(E81-$L$10)/$L$9</f>
        <v>132.08333333333337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38"/>
      <c r="B82" s="20">
        <f>Plate1_RawData_11_27!E354</f>
        <v>0.218</v>
      </c>
      <c r="C82" s="24"/>
      <c r="D82" s="24"/>
      <c r="E82" s="24"/>
      <c r="F82" s="24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30" t="s">
        <v>294</v>
      </c>
      <c r="B83" s="20">
        <f>Plate1_RawData_11_27!E355</f>
        <v>0.14199999999999999</v>
      </c>
      <c r="C83" s="24">
        <f>AVERAGE(B83,B84)</f>
        <v>0.156</v>
      </c>
      <c r="D83" s="31">
        <f>100*(STDEV(B83,B84)/C83)</f>
        <v>12.691660175143172</v>
      </c>
      <c r="E83" s="24">
        <f>C83-$C$2</f>
        <v>0.113</v>
      </c>
      <c r="F83" s="24">
        <f>(E83-$L$10)/$L$9</f>
        <v>89.166666666666671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30"/>
      <c r="B84" s="20">
        <f>Plate1_RawData_11_27!E356</f>
        <v>0.17</v>
      </c>
      <c r="C84" s="24"/>
      <c r="D84" s="24"/>
      <c r="E84" s="24"/>
      <c r="F84" s="24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30" t="s">
        <v>295</v>
      </c>
      <c r="B85" s="20">
        <f>Plate1_RawData_11_27!E357</f>
        <v>5.2999999999999999E-2</v>
      </c>
      <c r="C85" s="25">
        <f>AVERAGE(B85,B86)</f>
        <v>4.7500000000000001E-2</v>
      </c>
      <c r="D85" s="32">
        <f>100*(STDEV(B85,B86)/C85)</f>
        <v>16.37510440642528</v>
      </c>
      <c r="E85" s="25">
        <f>C85-$C$2</f>
        <v>4.500000000000004E-3</v>
      </c>
      <c r="F85" s="25">
        <f>(E85-$L$10)/$L$9</f>
        <v>-1.2499999999999969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30"/>
      <c r="B86" s="20">
        <f>Plate1_RawData_11_27!E358</f>
        <v>4.2000000000000003E-2</v>
      </c>
      <c r="C86" s="25"/>
      <c r="D86" s="25"/>
      <c r="E86" s="25"/>
      <c r="F86" s="25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30" t="s">
        <v>296</v>
      </c>
      <c r="B87" s="20">
        <f>Plate1_RawData_11_27!E359</f>
        <v>0.111</v>
      </c>
      <c r="C87" s="24">
        <f>AVERAGE(B87,B88)</f>
        <v>0.11449999999999999</v>
      </c>
      <c r="D87" s="25">
        <f>100*(STDEV(B87,B88)/C87)</f>
        <v>4.322923553105527</v>
      </c>
      <c r="E87" s="24">
        <f>C87-$C$2</f>
        <v>7.1499999999999994E-2</v>
      </c>
      <c r="F87" s="24">
        <f>(E87-$L$10)/$L$9</f>
        <v>54.583333333333329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30"/>
      <c r="B88" s="20">
        <f>Plate1_RawData_11_27!E360</f>
        <v>0.11799999999999999</v>
      </c>
      <c r="C88" s="24"/>
      <c r="D88" s="24"/>
      <c r="E88" s="24"/>
      <c r="F88" s="24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38" t="s">
        <v>297</v>
      </c>
      <c r="B89" s="20">
        <f>Plate1_RawData_11_27!E361</f>
        <v>0.114</v>
      </c>
      <c r="C89" s="25">
        <f>AVERAGE(B89,B90)</f>
        <v>0.11599999999999999</v>
      </c>
      <c r="D89" s="25">
        <f>100*(STDEV(B89,B90)/C89)</f>
        <v>2.438299245470847</v>
      </c>
      <c r="E89" s="24">
        <f>C89-$C$2</f>
        <v>7.2999999999999995E-2</v>
      </c>
      <c r="F89" s="24">
        <f>(E89-$L$10)/$L$9</f>
        <v>55.833333333333329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38"/>
      <c r="B90" s="20">
        <f>Plate1_RawData_11_27!E362</f>
        <v>0.11799999999999999</v>
      </c>
      <c r="C90" s="25"/>
      <c r="D90" s="25"/>
      <c r="E90" s="25"/>
      <c r="F90" s="25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78" t="s">
        <v>303</v>
      </c>
      <c r="B91" s="20">
        <f>Plate1_RawData_11_27!E363</f>
        <v>4.2000000000000003E-2</v>
      </c>
      <c r="C91" s="24">
        <f>AVERAGE(B91,B92)</f>
        <v>4.2999999999999997E-2</v>
      </c>
      <c r="D91" s="24">
        <f>100*(STDEV(B91,B92)/C91)</f>
        <v>3.2888687497048639</v>
      </c>
      <c r="E91" s="24">
        <f>C91-$C$2</f>
        <v>0</v>
      </c>
      <c r="F91" s="24">
        <f>(E91-$L$10)/$L$9</f>
        <v>-5.0000000000000009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78"/>
      <c r="B92" s="20">
        <f>Plate1_RawData_11_27!E364</f>
        <v>4.3999999999999997E-2</v>
      </c>
      <c r="C92" s="24"/>
      <c r="D92" s="24"/>
      <c r="E92" s="24"/>
      <c r="F92" s="24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77" t="s">
        <v>298</v>
      </c>
      <c r="B93" s="20">
        <f>Plate1_RawData_11_27!E365</f>
        <v>6.6000000000000003E-2</v>
      </c>
      <c r="C93" s="24">
        <f>AVERAGE(B93,B94)</f>
        <v>6.7000000000000004E-2</v>
      </c>
      <c r="D93" s="24">
        <f>100*(STDEV(B93,B94)/C93)</f>
        <v>2.1107665110046212</v>
      </c>
      <c r="E93" s="24">
        <f>C93-$C$2</f>
        <v>2.4000000000000007E-2</v>
      </c>
      <c r="F93" s="24">
        <f>(E93-$L$10)/$L$9</f>
        <v>15.000000000000009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77"/>
      <c r="B94" s="20">
        <f>Plate1_RawData_11_27!E366</f>
        <v>6.8000000000000005E-2</v>
      </c>
      <c r="C94" s="24"/>
      <c r="D94" s="24"/>
      <c r="E94" s="24"/>
      <c r="F94" s="24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55" t="s">
        <v>299</v>
      </c>
      <c r="B95" s="20">
        <f>Plate1_RawData_11_27!E367</f>
        <v>0.10299999999999999</v>
      </c>
      <c r="C95" s="25">
        <f>AVERAGE(B95,B96)</f>
        <v>0.1095</v>
      </c>
      <c r="D95" s="25">
        <f>100*(STDEV(B95,B96)/C95)</f>
        <v>8.3948750277855027</v>
      </c>
      <c r="E95" s="25">
        <f>C95-$C$2</f>
        <v>6.6500000000000004E-2</v>
      </c>
      <c r="F95" s="25">
        <f>(E95-$L$10)/$L$9</f>
        <v>50.416666666666679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55"/>
      <c r="B96" s="20">
        <f>Plate1_RawData_11_27!E368</f>
        <v>0.11600000000000001</v>
      </c>
      <c r="C96" s="25"/>
      <c r="D96" s="25"/>
      <c r="E96" s="25"/>
      <c r="F96" s="25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38" t="s">
        <v>300</v>
      </c>
      <c r="B97" s="20">
        <f>Plate1_RawData_11_27!E369</f>
        <v>5.3999999999999999E-2</v>
      </c>
      <c r="C97" s="24">
        <f>AVERAGE(B97,B98)</f>
        <v>5.0500000000000003E-2</v>
      </c>
      <c r="D97" s="25">
        <f>100*(STDEV(B97,B98)/C97)</f>
        <v>9.8014801352590712</v>
      </c>
      <c r="E97" s="24">
        <f>C97-$C$2</f>
        <v>7.5000000000000067E-3</v>
      </c>
      <c r="F97" s="24">
        <f>(E97-$L$10)/$L$9</f>
        <v>1.2500000000000056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38"/>
      <c r="B98" s="20">
        <f>Plate1_RawData_11_27!E370</f>
        <v>4.7E-2</v>
      </c>
      <c r="C98" s="24"/>
      <c r="D98" s="24"/>
      <c r="E98" s="24"/>
      <c r="F98" s="24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30" t="s">
        <v>301</v>
      </c>
      <c r="B99" s="20">
        <f>Plate1_RawData_11_27!E371</f>
        <v>0.11700000000000001</v>
      </c>
      <c r="C99" s="25">
        <f>AVERAGE(B99,B100)</f>
        <v>0.11650000000000001</v>
      </c>
      <c r="D99" s="25">
        <f>100*(STDEV(B99,B100)/C99)</f>
        <v>0.60695861046055632</v>
      </c>
      <c r="E99" s="24">
        <f>C99-$C$2</f>
        <v>7.350000000000001E-2</v>
      </c>
      <c r="F99" s="24">
        <f>(E99-$L$10)/$L$9</f>
        <v>56.250000000000007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30"/>
      <c r="B100" s="20">
        <f>Plate1_RawData_11_27!E372</f>
        <v>0.11600000000000001</v>
      </c>
      <c r="C100" s="25"/>
      <c r="D100" s="25"/>
      <c r="E100" s="25"/>
      <c r="F100" s="2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30" t="s">
        <v>302</v>
      </c>
      <c r="B101" s="20">
        <f>Plate1_RawData_11_27!E373</f>
        <v>0.28299999999999997</v>
      </c>
      <c r="C101" s="24">
        <f>AVERAGE(B101,B102)</f>
        <v>0.27</v>
      </c>
      <c r="D101" s="24">
        <f>100*(STDEV(B101,B102)/C101)</f>
        <v>6.8091764114260043</v>
      </c>
      <c r="E101" s="24">
        <f>C101-$C$2</f>
        <v>0.22700000000000004</v>
      </c>
      <c r="F101" s="24">
        <f>(E101-$L$10)/$L$9</f>
        <v>184.16666666666671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30"/>
      <c r="B102" s="20">
        <f>Plate1_RawData_11_27!E374</f>
        <v>0.25700000000000001</v>
      </c>
      <c r="C102" s="24"/>
      <c r="D102" s="24"/>
      <c r="E102" s="24"/>
      <c r="F102" s="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080B-F8CD-4EB4-8BE1-F781E3278411}">
  <dimension ref="A2:O386"/>
  <sheetViews>
    <sheetView topLeftCell="A358" workbookViewId="0">
      <selection activeCell="E373" sqref="E373"/>
    </sheetView>
  </sheetViews>
  <sheetFormatPr defaultColWidth="8.19921875" defaultRowHeight="13.2" x14ac:dyDescent="0.25"/>
  <cols>
    <col min="1" max="1" width="18.59765625" style="1" customWidth="1"/>
    <col min="2" max="2" width="11.3984375" style="1" customWidth="1"/>
    <col min="3" max="16384" width="8.19921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193</v>
      </c>
    </row>
    <row r="5" spans="1:2" x14ac:dyDescent="0.25">
      <c r="A5" s="1" t="s">
        <v>19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45623</v>
      </c>
    </row>
    <row r="8" spans="1:2" x14ac:dyDescent="0.25">
      <c r="A8" s="1" t="s">
        <v>22</v>
      </c>
      <c r="B8" s="3">
        <v>0.76060185185185192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 t="s">
        <v>190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5" t="s">
        <v>35</v>
      </c>
      <c r="C24" s="15" t="s">
        <v>36</v>
      </c>
      <c r="D24" s="8" t="s">
        <v>102</v>
      </c>
      <c r="E24" s="9" t="s">
        <v>50</v>
      </c>
      <c r="F24" s="9" t="s">
        <v>51</v>
      </c>
      <c r="G24" s="9" t="s">
        <v>52</v>
      </c>
      <c r="H24" s="9" t="s">
        <v>131</v>
      </c>
      <c r="I24" s="9" t="s">
        <v>194</v>
      </c>
      <c r="J24" s="9" t="s">
        <v>195</v>
      </c>
      <c r="K24" s="9" t="s">
        <v>196</v>
      </c>
      <c r="L24" s="9" t="s">
        <v>197</v>
      </c>
      <c r="M24" s="9" t="s">
        <v>198</v>
      </c>
      <c r="N24" s="9" t="s">
        <v>199</v>
      </c>
      <c r="O24" s="11" t="s">
        <v>39</v>
      </c>
    </row>
    <row r="25" spans="1:15" x14ac:dyDescent="0.25">
      <c r="B25" s="96"/>
      <c r="C25" s="16"/>
      <c r="D25" s="12">
        <v>100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1" t="s">
        <v>40</v>
      </c>
    </row>
    <row r="26" spans="1:15" x14ac:dyDescent="0.25">
      <c r="B26" s="95" t="s">
        <v>41</v>
      </c>
      <c r="C26" s="15" t="s">
        <v>36</v>
      </c>
      <c r="D26" s="8" t="s">
        <v>102</v>
      </c>
      <c r="E26" s="9" t="s">
        <v>50</v>
      </c>
      <c r="F26" s="9" t="s">
        <v>51</v>
      </c>
      <c r="G26" s="9" t="s">
        <v>52</v>
      </c>
      <c r="H26" s="9" t="s">
        <v>131</v>
      </c>
      <c r="I26" s="9" t="s">
        <v>194</v>
      </c>
      <c r="J26" s="9" t="s">
        <v>195</v>
      </c>
      <c r="K26" s="9" t="s">
        <v>196</v>
      </c>
      <c r="L26" s="9" t="s">
        <v>197</v>
      </c>
      <c r="M26" s="9" t="s">
        <v>198</v>
      </c>
      <c r="N26" s="9" t="s">
        <v>199</v>
      </c>
      <c r="O26" s="11" t="s">
        <v>39</v>
      </c>
    </row>
    <row r="27" spans="1:15" x14ac:dyDescent="0.25">
      <c r="B27" s="96"/>
      <c r="C27" s="16"/>
      <c r="D27" s="12">
        <v>100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1" t="s">
        <v>40</v>
      </c>
    </row>
    <row r="28" spans="1:15" x14ac:dyDescent="0.25">
      <c r="B28" s="95" t="s">
        <v>42</v>
      </c>
      <c r="C28" s="8" t="s">
        <v>98</v>
      </c>
      <c r="D28" s="8" t="s">
        <v>55</v>
      </c>
      <c r="E28" s="9" t="s">
        <v>56</v>
      </c>
      <c r="F28" s="9" t="s">
        <v>57</v>
      </c>
      <c r="G28" s="9" t="s">
        <v>132</v>
      </c>
      <c r="H28" s="9" t="s">
        <v>133</v>
      </c>
      <c r="I28" s="9" t="s">
        <v>200</v>
      </c>
      <c r="J28" s="9" t="s">
        <v>201</v>
      </c>
      <c r="K28" s="9" t="s">
        <v>202</v>
      </c>
      <c r="L28" s="9" t="s">
        <v>203</v>
      </c>
      <c r="M28" s="9" t="s">
        <v>204</v>
      </c>
      <c r="N28" s="9" t="s">
        <v>205</v>
      </c>
      <c r="O28" s="11" t="s">
        <v>39</v>
      </c>
    </row>
    <row r="29" spans="1:15" x14ac:dyDescent="0.25">
      <c r="B29" s="96"/>
      <c r="C29" s="12">
        <v>0</v>
      </c>
      <c r="D29" s="12">
        <v>150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1" t="s">
        <v>40</v>
      </c>
    </row>
    <row r="30" spans="1:15" x14ac:dyDescent="0.25">
      <c r="B30" s="95" t="s">
        <v>47</v>
      </c>
      <c r="C30" s="8" t="s">
        <v>98</v>
      </c>
      <c r="D30" s="8" t="s">
        <v>55</v>
      </c>
      <c r="E30" s="9" t="s">
        <v>56</v>
      </c>
      <c r="F30" s="9" t="s">
        <v>57</v>
      </c>
      <c r="G30" s="9" t="s">
        <v>132</v>
      </c>
      <c r="H30" s="9" t="s">
        <v>133</v>
      </c>
      <c r="I30" s="9" t="s">
        <v>200</v>
      </c>
      <c r="J30" s="9" t="s">
        <v>201</v>
      </c>
      <c r="K30" s="9" t="s">
        <v>202</v>
      </c>
      <c r="L30" s="9" t="s">
        <v>203</v>
      </c>
      <c r="M30" s="9" t="s">
        <v>204</v>
      </c>
      <c r="N30" s="9" t="s">
        <v>205</v>
      </c>
      <c r="O30" s="11" t="s">
        <v>39</v>
      </c>
    </row>
    <row r="31" spans="1:15" x14ac:dyDescent="0.25">
      <c r="B31" s="96"/>
      <c r="C31" s="12">
        <v>0</v>
      </c>
      <c r="D31" s="12">
        <v>150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1" t="s">
        <v>40</v>
      </c>
    </row>
    <row r="32" spans="1:15" x14ac:dyDescent="0.25">
      <c r="B32" s="95" t="s">
        <v>48</v>
      </c>
      <c r="C32" s="8" t="s">
        <v>43</v>
      </c>
      <c r="D32" s="8" t="s">
        <v>134</v>
      </c>
      <c r="E32" s="9" t="s">
        <v>37</v>
      </c>
      <c r="F32" s="9" t="s">
        <v>38</v>
      </c>
      <c r="G32" s="9" t="s">
        <v>135</v>
      </c>
      <c r="H32" s="9" t="s">
        <v>136</v>
      </c>
      <c r="I32" s="9" t="s">
        <v>206</v>
      </c>
      <c r="J32" s="9" t="s">
        <v>207</v>
      </c>
      <c r="K32" s="9" t="s">
        <v>208</v>
      </c>
      <c r="L32" s="9" t="s">
        <v>209</v>
      </c>
      <c r="M32" s="9" t="s">
        <v>210</v>
      </c>
      <c r="N32" s="9" t="s">
        <v>211</v>
      </c>
      <c r="O32" s="11" t="s">
        <v>39</v>
      </c>
    </row>
    <row r="33" spans="1:15" x14ac:dyDescent="0.25">
      <c r="B33" s="96"/>
      <c r="C33" s="12">
        <v>12.5</v>
      </c>
      <c r="D33" s="12">
        <v>200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1" t="s">
        <v>40</v>
      </c>
    </row>
    <row r="34" spans="1:15" x14ac:dyDescent="0.25">
      <c r="B34" s="95" t="s">
        <v>53</v>
      </c>
      <c r="C34" s="8" t="s">
        <v>43</v>
      </c>
      <c r="D34" s="8" t="s">
        <v>134</v>
      </c>
      <c r="E34" s="9" t="s">
        <v>37</v>
      </c>
      <c r="F34" s="9" t="s">
        <v>38</v>
      </c>
      <c r="G34" s="9" t="s">
        <v>135</v>
      </c>
      <c r="H34" s="9" t="s">
        <v>136</v>
      </c>
      <c r="I34" s="9" t="s">
        <v>206</v>
      </c>
      <c r="J34" s="9" t="s">
        <v>207</v>
      </c>
      <c r="K34" s="9" t="s">
        <v>208</v>
      </c>
      <c r="L34" s="9" t="s">
        <v>209</v>
      </c>
      <c r="M34" s="9" t="s">
        <v>210</v>
      </c>
      <c r="N34" s="9" t="s">
        <v>211</v>
      </c>
      <c r="O34" s="11" t="s">
        <v>39</v>
      </c>
    </row>
    <row r="35" spans="1:15" x14ac:dyDescent="0.25">
      <c r="B35" s="96"/>
      <c r="C35" s="12">
        <v>12.5</v>
      </c>
      <c r="D35" s="12">
        <v>200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1" t="s">
        <v>40</v>
      </c>
    </row>
    <row r="36" spans="1:15" x14ac:dyDescent="0.25">
      <c r="B36" s="95" t="s">
        <v>54</v>
      </c>
      <c r="C36" s="8" t="s">
        <v>49</v>
      </c>
      <c r="D36" s="9" t="s">
        <v>44</v>
      </c>
      <c r="E36" s="9" t="s">
        <v>45</v>
      </c>
      <c r="F36" s="9" t="s">
        <v>46</v>
      </c>
      <c r="G36" s="9" t="s">
        <v>137</v>
      </c>
      <c r="H36" s="9" t="s">
        <v>138</v>
      </c>
      <c r="I36" s="9" t="s">
        <v>212</v>
      </c>
      <c r="J36" s="9" t="s">
        <v>213</v>
      </c>
      <c r="K36" s="9" t="s">
        <v>214</v>
      </c>
      <c r="L36" s="9" t="s">
        <v>215</v>
      </c>
      <c r="M36" s="9" t="s">
        <v>216</v>
      </c>
      <c r="N36" s="9" t="s">
        <v>217</v>
      </c>
      <c r="O36" s="11" t="s">
        <v>39</v>
      </c>
    </row>
    <row r="37" spans="1:15" x14ac:dyDescent="0.25">
      <c r="B37" s="96"/>
      <c r="C37" s="12">
        <v>50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1" t="s">
        <v>40</v>
      </c>
    </row>
    <row r="38" spans="1:15" x14ac:dyDescent="0.25">
      <c r="B38" s="95" t="s">
        <v>58</v>
      </c>
      <c r="C38" s="8" t="s">
        <v>49</v>
      </c>
      <c r="D38" s="9" t="s">
        <v>44</v>
      </c>
      <c r="E38" s="9" t="s">
        <v>45</v>
      </c>
      <c r="F38" s="9" t="s">
        <v>46</v>
      </c>
      <c r="G38" s="9" t="s">
        <v>137</v>
      </c>
      <c r="H38" s="9" t="s">
        <v>138</v>
      </c>
      <c r="I38" s="9" t="s">
        <v>212</v>
      </c>
      <c r="J38" s="9" t="s">
        <v>213</v>
      </c>
      <c r="K38" s="9" t="s">
        <v>214</v>
      </c>
      <c r="L38" s="9" t="s">
        <v>215</v>
      </c>
      <c r="M38" s="9" t="s">
        <v>216</v>
      </c>
      <c r="N38" s="9" t="s">
        <v>217</v>
      </c>
      <c r="O38" s="11" t="s">
        <v>39</v>
      </c>
    </row>
    <row r="39" spans="1:15" x14ac:dyDescent="0.25">
      <c r="B39" s="96"/>
      <c r="C39" s="12">
        <v>50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26.8</v>
      </c>
    </row>
    <row r="43" spans="1:15" x14ac:dyDescent="0.25">
      <c r="A43" s="1" t="s">
        <v>59</v>
      </c>
      <c r="B43" s="1">
        <v>26.8</v>
      </c>
    </row>
    <row r="44" spans="1:15" x14ac:dyDescent="0.25">
      <c r="A44" s="1" t="s">
        <v>59</v>
      </c>
      <c r="B44" s="1">
        <v>26.8</v>
      </c>
    </row>
    <row r="45" spans="1:15" x14ac:dyDescent="0.25">
      <c r="A45" s="1" t="s">
        <v>59</v>
      </c>
      <c r="B45" s="1">
        <v>26.8</v>
      </c>
    </row>
    <row r="46" spans="1:15" x14ac:dyDescent="0.25">
      <c r="A46" s="1" t="s">
        <v>59</v>
      </c>
      <c r="B46" s="1">
        <v>26.8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64</v>
      </c>
      <c r="D49" s="17"/>
      <c r="E49" s="17">
        <v>4.2999999999999997E-2</v>
      </c>
      <c r="F49" s="17">
        <v>2</v>
      </c>
      <c r="G49" s="17">
        <v>4.2999999999999997E-2</v>
      </c>
      <c r="H49" s="17">
        <v>1E-3</v>
      </c>
      <c r="I49" s="17">
        <v>1.478</v>
      </c>
    </row>
    <row r="50" spans="2:9" x14ac:dyDescent="0.25">
      <c r="B50" s="17"/>
      <c r="C50" s="17" t="s">
        <v>65</v>
      </c>
      <c r="D50" s="17"/>
      <c r="E50" s="17">
        <v>4.2999999999999997E-2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70</v>
      </c>
      <c r="D51" s="17"/>
      <c r="E51" s="17">
        <v>0.14899999999999999</v>
      </c>
      <c r="F51" s="17">
        <v>2</v>
      </c>
      <c r="G51" s="17">
        <v>0.159</v>
      </c>
      <c r="H51" s="17">
        <v>1.2999999999999999E-2</v>
      </c>
      <c r="I51" s="17">
        <v>8.1980000000000004</v>
      </c>
    </row>
    <row r="52" spans="2:9" x14ac:dyDescent="0.25">
      <c r="B52" s="17"/>
      <c r="C52" s="17" t="s">
        <v>71</v>
      </c>
      <c r="D52" s="17"/>
      <c r="E52" s="17">
        <v>0.16800000000000001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72</v>
      </c>
      <c r="D53" s="17"/>
      <c r="E53" s="17">
        <v>0.113</v>
      </c>
      <c r="F53" s="17">
        <v>2</v>
      </c>
      <c r="G53" s="17">
        <v>0.11600000000000001</v>
      </c>
      <c r="H53" s="17">
        <v>4.0000000000000001E-3</v>
      </c>
      <c r="I53" s="17">
        <v>3.8490000000000002</v>
      </c>
    </row>
    <row r="54" spans="2:9" x14ac:dyDescent="0.25">
      <c r="B54" s="17"/>
      <c r="C54" s="17" t="s">
        <v>73</v>
      </c>
      <c r="D54" s="17"/>
      <c r="E54" s="17">
        <v>0.11899999999999999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74</v>
      </c>
      <c r="D55" s="17"/>
      <c r="E55" s="17">
        <v>0.108</v>
      </c>
      <c r="F55" s="17">
        <v>2</v>
      </c>
      <c r="G55" s="17">
        <v>0.109</v>
      </c>
      <c r="H55" s="17">
        <v>1E-3</v>
      </c>
      <c r="I55" s="17">
        <v>1.357</v>
      </c>
    </row>
    <row r="56" spans="2:9" x14ac:dyDescent="0.25">
      <c r="B56" s="17"/>
      <c r="C56" s="17" t="s">
        <v>75</v>
      </c>
      <c r="D56" s="17"/>
      <c r="E56" s="17">
        <v>0.111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76</v>
      </c>
      <c r="D57" s="17"/>
      <c r="E57" s="17">
        <v>4.2999999999999997E-2</v>
      </c>
      <c r="F57" s="17">
        <v>2</v>
      </c>
      <c r="G57" s="17">
        <v>4.2999999999999997E-2</v>
      </c>
      <c r="H57" s="17">
        <v>0</v>
      </c>
      <c r="I57" s="17">
        <v>0.49299999999999999</v>
      </c>
    </row>
    <row r="58" spans="2:9" x14ac:dyDescent="0.25">
      <c r="B58" s="17"/>
      <c r="C58" s="17" t="s">
        <v>77</v>
      </c>
      <c r="D58" s="17"/>
      <c r="E58" s="17">
        <v>4.2999999999999997E-2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78</v>
      </c>
      <c r="D59" s="17"/>
      <c r="E59" s="17">
        <v>0.114</v>
      </c>
      <c r="F59" s="17">
        <v>2</v>
      </c>
      <c r="G59" s="17">
        <v>0.122</v>
      </c>
      <c r="H59" s="17">
        <v>1.0999999999999999E-2</v>
      </c>
      <c r="I59" s="17">
        <v>8.8789999999999996</v>
      </c>
    </row>
    <row r="60" spans="2:9" x14ac:dyDescent="0.25">
      <c r="B60" s="17"/>
      <c r="C60" s="17" t="s">
        <v>79</v>
      </c>
      <c r="D60" s="17"/>
      <c r="E60" s="17">
        <v>0.13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80</v>
      </c>
      <c r="D61" s="17"/>
      <c r="E61" s="17">
        <v>5.2999999999999999E-2</v>
      </c>
      <c r="F61" s="17">
        <v>2</v>
      </c>
      <c r="G61" s="17">
        <v>5.6000000000000001E-2</v>
      </c>
      <c r="H61" s="17">
        <v>4.0000000000000001E-3</v>
      </c>
      <c r="I61" s="17">
        <v>6.976</v>
      </c>
    </row>
    <row r="62" spans="2:9" x14ac:dyDescent="0.25">
      <c r="B62" s="17"/>
      <c r="C62" s="17" t="s">
        <v>81</v>
      </c>
      <c r="D62" s="17"/>
      <c r="E62" s="17">
        <v>5.8999999999999997E-2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82</v>
      </c>
      <c r="D63" s="17"/>
      <c r="E63" s="17">
        <v>0.215</v>
      </c>
      <c r="F63" s="17">
        <v>2</v>
      </c>
      <c r="G63" s="17">
        <v>0.17199999999999999</v>
      </c>
      <c r="H63" s="17">
        <v>6.0999999999999999E-2</v>
      </c>
      <c r="I63" s="17">
        <v>35.323999999999998</v>
      </c>
    </row>
    <row r="64" spans="2:9" x14ac:dyDescent="0.25">
      <c r="B64" s="17"/>
      <c r="C64" s="17" t="s">
        <v>83</v>
      </c>
      <c r="D64" s="17"/>
      <c r="E64" s="17">
        <v>0.129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84</v>
      </c>
      <c r="D65" s="17"/>
      <c r="E65" s="17">
        <v>0.16200000000000001</v>
      </c>
      <c r="F65" s="17">
        <v>2</v>
      </c>
      <c r="G65" s="17">
        <v>0.17499999999999999</v>
      </c>
      <c r="H65" s="17">
        <v>1.7999999999999999E-2</v>
      </c>
      <c r="I65" s="17">
        <v>10.275</v>
      </c>
    </row>
    <row r="66" spans="2:9" x14ac:dyDescent="0.25">
      <c r="B66" s="17"/>
      <c r="C66" s="17" t="s">
        <v>85</v>
      </c>
      <c r="D66" s="17"/>
      <c r="E66" s="17">
        <v>0.188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86</v>
      </c>
      <c r="D67" s="17"/>
      <c r="E67" s="17">
        <v>0.152</v>
      </c>
      <c r="F67" s="17">
        <v>2</v>
      </c>
      <c r="G67" s="17">
        <v>0.159</v>
      </c>
      <c r="H67" s="17">
        <v>0.01</v>
      </c>
      <c r="I67" s="17">
        <v>6.3310000000000004</v>
      </c>
    </row>
    <row r="68" spans="2:9" x14ac:dyDescent="0.25">
      <c r="B68" s="17"/>
      <c r="C68" s="17" t="s">
        <v>87</v>
      </c>
      <c r="D68" s="17"/>
      <c r="E68" s="17">
        <v>0.16600000000000001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139</v>
      </c>
      <c r="D69" s="17"/>
      <c r="E69" s="17">
        <v>0.108</v>
      </c>
      <c r="F69" s="17">
        <v>2</v>
      </c>
      <c r="G69" s="17">
        <v>0.112</v>
      </c>
      <c r="H69" s="17">
        <v>6.0000000000000001E-3</v>
      </c>
      <c r="I69" s="17">
        <v>5.4850000000000003</v>
      </c>
    </row>
    <row r="70" spans="2:9" x14ac:dyDescent="0.25">
      <c r="B70" s="17"/>
      <c r="C70" s="17" t="s">
        <v>140</v>
      </c>
      <c r="D70" s="17"/>
      <c r="E70" s="17">
        <v>0.11700000000000001</v>
      </c>
      <c r="F70" s="17"/>
      <c r="G70" s="17"/>
      <c r="H70" s="17"/>
      <c r="I70" s="17"/>
    </row>
    <row r="71" spans="2:9" x14ac:dyDescent="0.25">
      <c r="B71" s="17" t="s">
        <v>132</v>
      </c>
      <c r="C71" s="17" t="s">
        <v>141</v>
      </c>
      <c r="D71" s="17"/>
      <c r="E71" s="17">
        <v>6.7000000000000004E-2</v>
      </c>
      <c r="F71" s="17">
        <v>2</v>
      </c>
      <c r="G71" s="17">
        <v>6.6000000000000003E-2</v>
      </c>
      <c r="H71" s="17">
        <v>2E-3</v>
      </c>
      <c r="I71" s="17">
        <v>3.0139999999999998</v>
      </c>
    </row>
    <row r="72" spans="2:9" x14ac:dyDescent="0.25">
      <c r="B72" s="17"/>
      <c r="C72" s="17" t="s">
        <v>142</v>
      </c>
      <c r="D72" s="17"/>
      <c r="E72" s="17">
        <v>6.4000000000000001E-2</v>
      </c>
      <c r="F72" s="17"/>
      <c r="G72" s="17"/>
      <c r="H72" s="17"/>
      <c r="I72" s="17"/>
    </row>
    <row r="73" spans="2:9" x14ac:dyDescent="0.25">
      <c r="B73" s="17" t="s">
        <v>135</v>
      </c>
      <c r="C73" s="17" t="s">
        <v>143</v>
      </c>
      <c r="D73" s="17"/>
      <c r="E73" s="17">
        <v>0.14499999999999999</v>
      </c>
      <c r="F73" s="17">
        <v>2</v>
      </c>
      <c r="G73" s="17">
        <v>0.13900000000000001</v>
      </c>
      <c r="H73" s="17">
        <v>8.9999999999999993E-3</v>
      </c>
      <c r="I73" s="17">
        <v>6.5789999999999997</v>
      </c>
    </row>
    <row r="74" spans="2:9" x14ac:dyDescent="0.25">
      <c r="B74" s="17"/>
      <c r="C74" s="17" t="s">
        <v>144</v>
      </c>
      <c r="D74" s="17"/>
      <c r="E74" s="17">
        <v>0.13200000000000001</v>
      </c>
      <c r="F74" s="17"/>
      <c r="G74" s="17"/>
      <c r="H74" s="17"/>
      <c r="I74" s="17"/>
    </row>
    <row r="75" spans="2:9" x14ac:dyDescent="0.25">
      <c r="B75" s="17" t="s">
        <v>137</v>
      </c>
      <c r="C75" s="17" t="s">
        <v>145</v>
      </c>
      <c r="D75" s="17"/>
      <c r="E75" s="17">
        <v>4.7E-2</v>
      </c>
      <c r="F75" s="17">
        <v>2</v>
      </c>
      <c r="G75" s="17">
        <v>4.5999999999999999E-2</v>
      </c>
      <c r="H75" s="17">
        <v>0</v>
      </c>
      <c r="I75" s="17">
        <v>0.30499999999999999</v>
      </c>
    </row>
    <row r="76" spans="2:9" x14ac:dyDescent="0.25">
      <c r="B76" s="17"/>
      <c r="C76" s="17" t="s">
        <v>146</v>
      </c>
      <c r="D76" s="17"/>
      <c r="E76" s="17">
        <v>4.5999999999999999E-2</v>
      </c>
      <c r="F76" s="17"/>
      <c r="G76" s="17"/>
      <c r="H76" s="17"/>
      <c r="I76" s="17"/>
    </row>
    <row r="77" spans="2:9" x14ac:dyDescent="0.25">
      <c r="B77" s="17" t="s">
        <v>131</v>
      </c>
      <c r="C77" s="17" t="s">
        <v>147</v>
      </c>
      <c r="D77" s="17"/>
      <c r="E77" s="17">
        <v>5.8000000000000003E-2</v>
      </c>
      <c r="F77" s="17">
        <v>2</v>
      </c>
      <c r="G77" s="17">
        <v>5.8999999999999997E-2</v>
      </c>
      <c r="H77" s="17">
        <v>1E-3</v>
      </c>
      <c r="I77" s="17">
        <v>1.927</v>
      </c>
    </row>
    <row r="78" spans="2:9" x14ac:dyDescent="0.25">
      <c r="B78" s="17"/>
      <c r="C78" s="17" t="s">
        <v>148</v>
      </c>
      <c r="D78" s="17"/>
      <c r="E78" s="17">
        <v>5.8999999999999997E-2</v>
      </c>
      <c r="F78" s="17"/>
      <c r="G78" s="17"/>
      <c r="H78" s="17"/>
      <c r="I78" s="17"/>
    </row>
    <row r="79" spans="2:9" x14ac:dyDescent="0.25">
      <c r="B79" s="17" t="s">
        <v>133</v>
      </c>
      <c r="C79" s="17" t="s">
        <v>149</v>
      </c>
      <c r="D79" s="17"/>
      <c r="E79" s="17">
        <v>0.123</v>
      </c>
      <c r="F79" s="17">
        <v>2</v>
      </c>
      <c r="G79" s="17">
        <v>0.12</v>
      </c>
      <c r="H79" s="17">
        <v>4.0000000000000001E-3</v>
      </c>
      <c r="I79" s="17">
        <v>3.294</v>
      </c>
    </row>
    <row r="80" spans="2:9" x14ac:dyDescent="0.25">
      <c r="B80" s="17"/>
      <c r="C80" s="17" t="s">
        <v>150</v>
      </c>
      <c r="D80" s="17"/>
      <c r="E80" s="17">
        <v>0.11700000000000001</v>
      </c>
      <c r="F80" s="17"/>
      <c r="G80" s="17"/>
      <c r="H80" s="17"/>
      <c r="I80" s="17"/>
    </row>
    <row r="81" spans="2:9" x14ac:dyDescent="0.25">
      <c r="B81" s="17" t="s">
        <v>136</v>
      </c>
      <c r="C81" s="17" t="s">
        <v>151</v>
      </c>
      <c r="D81" s="17"/>
      <c r="E81" s="17">
        <v>4.2999999999999997E-2</v>
      </c>
      <c r="F81" s="17">
        <v>2</v>
      </c>
      <c r="G81" s="17">
        <v>4.2999999999999997E-2</v>
      </c>
      <c r="H81" s="17">
        <v>0</v>
      </c>
      <c r="I81" s="17">
        <v>1.147</v>
      </c>
    </row>
    <row r="82" spans="2:9" x14ac:dyDescent="0.25">
      <c r="B82" s="17"/>
      <c r="C82" s="17" t="s">
        <v>152</v>
      </c>
      <c r="D82" s="17"/>
      <c r="E82" s="17">
        <v>4.2999999999999997E-2</v>
      </c>
      <c r="F82" s="17"/>
      <c r="G82" s="17"/>
      <c r="H82" s="17"/>
      <c r="I82" s="17"/>
    </row>
    <row r="83" spans="2:9" x14ac:dyDescent="0.25">
      <c r="B83" s="17" t="s">
        <v>138</v>
      </c>
      <c r="C83" s="17" t="s">
        <v>153</v>
      </c>
      <c r="D83" s="17"/>
      <c r="E83" s="17">
        <v>0.106</v>
      </c>
      <c r="F83" s="17">
        <v>2</v>
      </c>
      <c r="G83" s="17">
        <v>0.104</v>
      </c>
      <c r="H83" s="17">
        <v>3.0000000000000001E-3</v>
      </c>
      <c r="I83" s="17">
        <v>2.919</v>
      </c>
    </row>
    <row r="84" spans="2:9" x14ac:dyDescent="0.25">
      <c r="B84" s="17"/>
      <c r="C84" s="17" t="s">
        <v>154</v>
      </c>
      <c r="D84" s="17"/>
      <c r="E84" s="17">
        <v>0.10199999999999999</v>
      </c>
      <c r="F84" s="17"/>
      <c r="G84" s="17"/>
      <c r="H84" s="17"/>
      <c r="I84" s="17"/>
    </row>
    <row r="85" spans="2:9" x14ac:dyDescent="0.25">
      <c r="B85" s="17" t="s">
        <v>194</v>
      </c>
      <c r="C85" s="17" t="s">
        <v>218</v>
      </c>
      <c r="D85" s="17"/>
      <c r="E85" s="17">
        <v>0.188</v>
      </c>
      <c r="F85" s="17">
        <v>2</v>
      </c>
      <c r="G85" s="17">
        <v>0.20499999999999999</v>
      </c>
      <c r="H85" s="17">
        <v>2.3E-2</v>
      </c>
      <c r="I85" s="17">
        <v>11.436999999999999</v>
      </c>
    </row>
    <row r="86" spans="2:9" x14ac:dyDescent="0.25">
      <c r="B86" s="17"/>
      <c r="C86" s="17" t="s">
        <v>219</v>
      </c>
      <c r="D86" s="17"/>
      <c r="E86" s="17">
        <v>0.221</v>
      </c>
      <c r="F86" s="17"/>
      <c r="G86" s="17"/>
      <c r="H86" s="17"/>
      <c r="I86" s="17"/>
    </row>
    <row r="87" spans="2:9" x14ac:dyDescent="0.25">
      <c r="B87" s="17" t="s">
        <v>200</v>
      </c>
      <c r="C87" s="17" t="s">
        <v>220</v>
      </c>
      <c r="D87" s="17"/>
      <c r="E87" s="17">
        <v>0.1</v>
      </c>
      <c r="F87" s="17">
        <v>2</v>
      </c>
      <c r="G87" s="17">
        <v>9.0999999999999998E-2</v>
      </c>
      <c r="H87" s="17">
        <v>1.2999999999999999E-2</v>
      </c>
      <c r="I87" s="17">
        <v>14.048</v>
      </c>
    </row>
    <row r="88" spans="2:9" x14ac:dyDescent="0.25">
      <c r="B88" s="17"/>
      <c r="C88" s="17" t="s">
        <v>221</v>
      </c>
      <c r="D88" s="17"/>
      <c r="E88" s="17">
        <v>8.2000000000000003E-2</v>
      </c>
      <c r="F88" s="17"/>
      <c r="G88" s="17"/>
      <c r="H88" s="17"/>
      <c r="I88" s="17"/>
    </row>
    <row r="89" spans="2:9" x14ac:dyDescent="0.25">
      <c r="B89" s="17" t="s">
        <v>206</v>
      </c>
      <c r="C89" s="17" t="s">
        <v>222</v>
      </c>
      <c r="D89" s="17"/>
      <c r="E89" s="17">
        <v>9.6000000000000002E-2</v>
      </c>
      <c r="F89" s="17">
        <v>2</v>
      </c>
      <c r="G89" s="17">
        <v>9.8000000000000004E-2</v>
      </c>
      <c r="H89" s="17">
        <v>3.0000000000000001E-3</v>
      </c>
      <c r="I89" s="17">
        <v>3.2349999999999999</v>
      </c>
    </row>
    <row r="90" spans="2:9" x14ac:dyDescent="0.25">
      <c r="B90" s="17"/>
      <c r="C90" s="17" t="s">
        <v>223</v>
      </c>
      <c r="D90" s="17"/>
      <c r="E90" s="17">
        <v>0.10100000000000001</v>
      </c>
      <c r="F90" s="17"/>
      <c r="G90" s="17"/>
      <c r="H90" s="17"/>
      <c r="I90" s="17"/>
    </row>
    <row r="91" spans="2:9" x14ac:dyDescent="0.25">
      <c r="B91" s="17" t="s">
        <v>212</v>
      </c>
      <c r="C91" s="17" t="s">
        <v>224</v>
      </c>
      <c r="D91" s="17"/>
      <c r="E91" s="17">
        <v>0.16400000000000001</v>
      </c>
      <c r="F91" s="17">
        <v>2</v>
      </c>
      <c r="G91" s="17">
        <v>0.157</v>
      </c>
      <c r="H91" s="17">
        <v>0.01</v>
      </c>
      <c r="I91" s="17">
        <v>6.1840000000000002</v>
      </c>
    </row>
    <row r="92" spans="2:9" x14ac:dyDescent="0.25">
      <c r="B92" s="17"/>
      <c r="C92" s="17" t="s">
        <v>225</v>
      </c>
      <c r="D92" s="17"/>
      <c r="E92" s="17">
        <v>0.15</v>
      </c>
      <c r="F92" s="17"/>
      <c r="G92" s="17"/>
      <c r="H92" s="17"/>
      <c r="I92" s="17"/>
    </row>
    <row r="93" spans="2:9" x14ac:dyDescent="0.25">
      <c r="B93" s="17" t="s">
        <v>195</v>
      </c>
      <c r="C93" s="17" t="s">
        <v>226</v>
      </c>
      <c r="D93" s="17"/>
      <c r="E93" s="17">
        <v>8.1000000000000003E-2</v>
      </c>
      <c r="F93" s="17">
        <v>2</v>
      </c>
      <c r="G93" s="17">
        <v>8.4000000000000005E-2</v>
      </c>
      <c r="H93" s="17">
        <v>4.0000000000000001E-3</v>
      </c>
      <c r="I93" s="17">
        <v>5.194</v>
      </c>
    </row>
    <row r="94" spans="2:9" x14ac:dyDescent="0.25">
      <c r="B94" s="17"/>
      <c r="C94" s="17" t="s">
        <v>227</v>
      </c>
      <c r="D94" s="17"/>
      <c r="E94" s="17">
        <v>8.6999999999999994E-2</v>
      </c>
      <c r="F94" s="17"/>
      <c r="G94" s="17"/>
      <c r="H94" s="17"/>
      <c r="I94" s="17"/>
    </row>
    <row r="95" spans="2:9" x14ac:dyDescent="0.25">
      <c r="B95" s="17" t="s">
        <v>201</v>
      </c>
      <c r="C95" s="17" t="s">
        <v>228</v>
      </c>
      <c r="D95" s="17"/>
      <c r="E95" s="17">
        <v>0.23400000000000001</v>
      </c>
      <c r="F95" s="17">
        <v>2</v>
      </c>
      <c r="G95" s="17">
        <v>0.23599999999999999</v>
      </c>
      <c r="H95" s="17">
        <v>3.0000000000000001E-3</v>
      </c>
      <c r="I95" s="17">
        <v>1.377</v>
      </c>
    </row>
    <row r="96" spans="2:9" x14ac:dyDescent="0.25">
      <c r="B96" s="17"/>
      <c r="C96" s="17" t="s">
        <v>229</v>
      </c>
      <c r="D96" s="17"/>
      <c r="E96" s="17">
        <v>0.23899999999999999</v>
      </c>
      <c r="F96" s="17"/>
      <c r="G96" s="17"/>
      <c r="H96" s="17"/>
      <c r="I96" s="17"/>
    </row>
    <row r="97" spans="2:9" x14ac:dyDescent="0.25">
      <c r="B97" s="17" t="s">
        <v>207</v>
      </c>
      <c r="C97" s="17" t="s">
        <v>230</v>
      </c>
      <c r="D97" s="17"/>
      <c r="E97" s="17">
        <v>0.10299999999999999</v>
      </c>
      <c r="F97" s="17">
        <v>2</v>
      </c>
      <c r="G97" s="17">
        <v>0.111</v>
      </c>
      <c r="H97" s="17">
        <v>1.2E-2</v>
      </c>
      <c r="I97" s="17">
        <v>10.879</v>
      </c>
    </row>
    <row r="98" spans="2:9" x14ac:dyDescent="0.25">
      <c r="B98" s="17"/>
      <c r="C98" s="17" t="s">
        <v>231</v>
      </c>
      <c r="D98" s="17"/>
      <c r="E98" s="17">
        <v>0.12</v>
      </c>
      <c r="F98" s="17"/>
      <c r="G98" s="17"/>
      <c r="H98" s="17"/>
      <c r="I98" s="17"/>
    </row>
    <row r="99" spans="2:9" x14ac:dyDescent="0.25">
      <c r="B99" s="17" t="s">
        <v>213</v>
      </c>
      <c r="C99" s="17" t="s">
        <v>232</v>
      </c>
      <c r="D99" s="17"/>
      <c r="E99" s="17">
        <v>4.2999999999999997E-2</v>
      </c>
      <c r="F99" s="17">
        <v>2</v>
      </c>
      <c r="G99" s="17">
        <v>4.3999999999999997E-2</v>
      </c>
      <c r="H99" s="17">
        <v>1E-3</v>
      </c>
      <c r="I99" s="17">
        <v>3.3559999999999999</v>
      </c>
    </row>
    <row r="100" spans="2:9" x14ac:dyDescent="0.25">
      <c r="B100" s="17"/>
      <c r="C100" s="17" t="s">
        <v>233</v>
      </c>
      <c r="D100" s="17"/>
      <c r="E100" s="17">
        <v>4.4999999999999998E-2</v>
      </c>
      <c r="F100" s="17"/>
      <c r="G100" s="17"/>
      <c r="H100" s="17"/>
      <c r="I100" s="17"/>
    </row>
    <row r="101" spans="2:9" x14ac:dyDescent="0.25">
      <c r="B101" s="17" t="s">
        <v>196</v>
      </c>
      <c r="C101" s="17" t="s">
        <v>234</v>
      </c>
      <c r="D101" s="17"/>
      <c r="E101" s="17">
        <v>7.2999999999999995E-2</v>
      </c>
      <c r="F101" s="17">
        <v>2</v>
      </c>
      <c r="G101" s="17">
        <v>7.5999999999999998E-2</v>
      </c>
      <c r="H101" s="17">
        <v>4.0000000000000001E-3</v>
      </c>
      <c r="I101" s="17">
        <v>5.7759999999999998</v>
      </c>
    </row>
    <row r="102" spans="2:9" x14ac:dyDescent="0.25">
      <c r="B102" s="17"/>
      <c r="C102" s="17" t="s">
        <v>235</v>
      </c>
      <c r="D102" s="17"/>
      <c r="E102" s="17">
        <v>7.9000000000000001E-2</v>
      </c>
      <c r="F102" s="17"/>
      <c r="G102" s="17"/>
      <c r="H102" s="17"/>
      <c r="I102" s="17"/>
    </row>
    <row r="103" spans="2:9" x14ac:dyDescent="0.25">
      <c r="B103" s="17" t="s">
        <v>202</v>
      </c>
      <c r="C103" s="17" t="s">
        <v>236</v>
      </c>
      <c r="D103" s="17"/>
      <c r="E103" s="17">
        <v>5.5E-2</v>
      </c>
      <c r="F103" s="17">
        <v>2</v>
      </c>
      <c r="G103" s="17">
        <v>5.7000000000000002E-2</v>
      </c>
      <c r="H103" s="17">
        <v>2E-3</v>
      </c>
      <c r="I103" s="17">
        <v>4.3460000000000001</v>
      </c>
    </row>
    <row r="104" spans="2:9" x14ac:dyDescent="0.25">
      <c r="B104" s="17"/>
      <c r="C104" s="17" t="s">
        <v>237</v>
      </c>
      <c r="D104" s="17"/>
      <c r="E104" s="17">
        <v>5.8999999999999997E-2</v>
      </c>
      <c r="F104" s="17"/>
      <c r="G104" s="17"/>
      <c r="H104" s="17"/>
      <c r="I104" s="17"/>
    </row>
    <row r="105" spans="2:9" x14ac:dyDescent="0.25">
      <c r="B105" s="17" t="s">
        <v>208</v>
      </c>
      <c r="C105" s="17" t="s">
        <v>238</v>
      </c>
      <c r="D105" s="17"/>
      <c r="E105" s="17">
        <v>4.2999999999999997E-2</v>
      </c>
      <c r="F105" s="17">
        <v>2</v>
      </c>
      <c r="G105" s="17">
        <v>7.9000000000000001E-2</v>
      </c>
      <c r="H105" s="17">
        <v>5.0999999999999997E-2</v>
      </c>
      <c r="I105" s="17">
        <v>64.688000000000002</v>
      </c>
    </row>
    <row r="106" spans="2:9" x14ac:dyDescent="0.25">
      <c r="B106" s="17"/>
      <c r="C106" s="17" t="s">
        <v>239</v>
      </c>
      <c r="D106" s="17"/>
      <c r="E106" s="17">
        <v>0.11600000000000001</v>
      </c>
      <c r="F106" s="17"/>
      <c r="G106" s="17"/>
      <c r="H106" s="17"/>
      <c r="I106" s="17"/>
    </row>
    <row r="107" spans="2:9" x14ac:dyDescent="0.25">
      <c r="B107" s="17" t="s">
        <v>214</v>
      </c>
      <c r="C107" s="17" t="s">
        <v>240</v>
      </c>
      <c r="D107" s="17"/>
      <c r="E107" s="17">
        <v>0.11899999999999999</v>
      </c>
      <c r="F107" s="17">
        <v>2</v>
      </c>
      <c r="G107" s="17">
        <v>0.129</v>
      </c>
      <c r="H107" s="17">
        <v>1.4999999999999999E-2</v>
      </c>
      <c r="I107" s="17">
        <v>11.393000000000001</v>
      </c>
    </row>
    <row r="108" spans="2:9" x14ac:dyDescent="0.25">
      <c r="B108" s="17"/>
      <c r="C108" s="17" t="s">
        <v>241</v>
      </c>
      <c r="D108" s="17"/>
      <c r="E108" s="17">
        <v>0.14000000000000001</v>
      </c>
      <c r="F108" s="17"/>
      <c r="G108" s="17"/>
      <c r="H108" s="17"/>
      <c r="I108" s="17"/>
    </row>
    <row r="109" spans="2:9" x14ac:dyDescent="0.25">
      <c r="B109" s="17" t="s">
        <v>197</v>
      </c>
      <c r="C109" s="17" t="s">
        <v>242</v>
      </c>
      <c r="D109" s="17"/>
      <c r="E109" s="17">
        <v>0.111</v>
      </c>
      <c r="F109" s="17">
        <v>2</v>
      </c>
      <c r="G109" s="17">
        <v>0.11700000000000001</v>
      </c>
      <c r="H109" s="17">
        <v>8.9999999999999993E-3</v>
      </c>
      <c r="I109" s="17">
        <v>7.71</v>
      </c>
    </row>
    <row r="110" spans="2:9" x14ac:dyDescent="0.25">
      <c r="B110" s="17"/>
      <c r="C110" s="17" t="s">
        <v>243</v>
      </c>
      <c r="D110" s="17"/>
      <c r="E110" s="17">
        <v>0.124</v>
      </c>
      <c r="F110" s="17"/>
      <c r="G110" s="17"/>
      <c r="H110" s="17"/>
      <c r="I110" s="17"/>
    </row>
    <row r="111" spans="2:9" x14ac:dyDescent="0.25">
      <c r="B111" s="17" t="s">
        <v>203</v>
      </c>
      <c r="C111" s="17" t="s">
        <v>244</v>
      </c>
      <c r="D111" s="17"/>
      <c r="E111" s="17">
        <v>0.19700000000000001</v>
      </c>
      <c r="F111" s="17">
        <v>2</v>
      </c>
      <c r="G111" s="17">
        <v>0.20799999999999999</v>
      </c>
      <c r="H111" s="17">
        <v>1.4999999999999999E-2</v>
      </c>
      <c r="I111" s="17">
        <v>7.1459999999999999</v>
      </c>
    </row>
    <row r="112" spans="2:9" x14ac:dyDescent="0.25">
      <c r="B112" s="17"/>
      <c r="C112" s="17" t="s">
        <v>245</v>
      </c>
      <c r="D112" s="17"/>
      <c r="E112" s="17">
        <v>0.218</v>
      </c>
      <c r="F112" s="17"/>
      <c r="G112" s="17"/>
      <c r="H112" s="17"/>
      <c r="I112" s="17"/>
    </row>
    <row r="113" spans="2:9" x14ac:dyDescent="0.25">
      <c r="B113" s="17" t="s">
        <v>209</v>
      </c>
      <c r="C113" s="17" t="s">
        <v>246</v>
      </c>
      <c r="D113" s="17"/>
      <c r="E113" s="17">
        <v>0.14199999999999999</v>
      </c>
      <c r="F113" s="17">
        <v>2</v>
      </c>
      <c r="G113" s="17">
        <v>0.156</v>
      </c>
      <c r="H113" s="17">
        <v>1.9E-2</v>
      </c>
      <c r="I113" s="17">
        <v>12.37</v>
      </c>
    </row>
    <row r="114" spans="2:9" x14ac:dyDescent="0.25">
      <c r="B114" s="17"/>
      <c r="C114" s="17" t="s">
        <v>247</v>
      </c>
      <c r="D114" s="17"/>
      <c r="E114" s="17">
        <v>0.17</v>
      </c>
      <c r="F114" s="17"/>
      <c r="G114" s="17"/>
      <c r="H114" s="17"/>
      <c r="I114" s="17"/>
    </row>
    <row r="115" spans="2:9" x14ac:dyDescent="0.25">
      <c r="B115" s="17" t="s">
        <v>215</v>
      </c>
      <c r="C115" s="17" t="s">
        <v>248</v>
      </c>
      <c r="D115" s="17"/>
      <c r="E115" s="17">
        <v>5.2999999999999999E-2</v>
      </c>
      <c r="F115" s="17">
        <v>2</v>
      </c>
      <c r="G115" s="17">
        <v>4.8000000000000001E-2</v>
      </c>
      <c r="H115" s="17">
        <v>8.0000000000000002E-3</v>
      </c>
      <c r="I115" s="17">
        <v>17.864000000000001</v>
      </c>
    </row>
    <row r="116" spans="2:9" x14ac:dyDescent="0.25">
      <c r="B116" s="17"/>
      <c r="C116" s="17" t="s">
        <v>249</v>
      </c>
      <c r="D116" s="17"/>
      <c r="E116" s="17">
        <v>4.2000000000000003E-2</v>
      </c>
      <c r="F116" s="17"/>
      <c r="G116" s="17"/>
      <c r="H116" s="17"/>
      <c r="I116" s="17"/>
    </row>
    <row r="117" spans="2:9" x14ac:dyDescent="0.25">
      <c r="B117" s="17" t="s">
        <v>198</v>
      </c>
      <c r="C117" s="17" t="s">
        <v>250</v>
      </c>
      <c r="D117" s="17"/>
      <c r="E117" s="17">
        <v>0.111</v>
      </c>
      <c r="F117" s="17">
        <v>2</v>
      </c>
      <c r="G117" s="17">
        <v>0.115</v>
      </c>
      <c r="H117" s="17">
        <v>5.0000000000000001E-3</v>
      </c>
      <c r="I117" s="17">
        <v>4.6849999999999996</v>
      </c>
    </row>
    <row r="118" spans="2:9" x14ac:dyDescent="0.25">
      <c r="B118" s="17"/>
      <c r="C118" s="17" t="s">
        <v>251</v>
      </c>
      <c r="D118" s="17"/>
      <c r="E118" s="17">
        <v>0.11799999999999999</v>
      </c>
      <c r="F118" s="17"/>
      <c r="G118" s="17"/>
      <c r="H118" s="17"/>
      <c r="I118" s="17"/>
    </row>
    <row r="119" spans="2:9" x14ac:dyDescent="0.25">
      <c r="B119" s="17" t="s">
        <v>204</v>
      </c>
      <c r="C119" s="17" t="s">
        <v>252</v>
      </c>
      <c r="D119" s="17"/>
      <c r="E119" s="17">
        <v>0.114</v>
      </c>
      <c r="F119" s="17">
        <v>2</v>
      </c>
      <c r="G119" s="17">
        <v>0.11600000000000001</v>
      </c>
      <c r="H119" s="17">
        <v>3.0000000000000001E-3</v>
      </c>
      <c r="I119" s="17">
        <v>2.3180000000000001</v>
      </c>
    </row>
    <row r="120" spans="2:9" x14ac:dyDescent="0.25">
      <c r="B120" s="17"/>
      <c r="C120" s="17" t="s">
        <v>253</v>
      </c>
      <c r="D120" s="17"/>
      <c r="E120" s="17">
        <v>0.11799999999999999</v>
      </c>
      <c r="F120" s="17"/>
      <c r="G120" s="17"/>
      <c r="H120" s="17"/>
      <c r="I120" s="17"/>
    </row>
    <row r="121" spans="2:9" x14ac:dyDescent="0.25">
      <c r="B121" s="17" t="s">
        <v>210</v>
      </c>
      <c r="C121" s="17" t="s">
        <v>254</v>
      </c>
      <c r="D121" s="17"/>
      <c r="E121" s="17">
        <v>4.2000000000000003E-2</v>
      </c>
      <c r="F121" s="17">
        <v>2</v>
      </c>
      <c r="G121" s="17">
        <v>4.2999999999999997E-2</v>
      </c>
      <c r="H121" s="17">
        <v>1E-3</v>
      </c>
      <c r="I121" s="17">
        <v>2.6309999999999998</v>
      </c>
    </row>
    <row r="122" spans="2:9" x14ac:dyDescent="0.25">
      <c r="B122" s="17"/>
      <c r="C122" s="17" t="s">
        <v>255</v>
      </c>
      <c r="D122" s="17"/>
      <c r="E122" s="17">
        <v>4.3999999999999997E-2</v>
      </c>
      <c r="F122" s="17"/>
      <c r="G122" s="17"/>
      <c r="H122" s="17"/>
      <c r="I122" s="17"/>
    </row>
    <row r="123" spans="2:9" x14ac:dyDescent="0.25">
      <c r="B123" s="17" t="s">
        <v>216</v>
      </c>
      <c r="C123" s="17" t="s">
        <v>256</v>
      </c>
      <c r="D123" s="17"/>
      <c r="E123" s="17">
        <v>6.6000000000000003E-2</v>
      </c>
      <c r="F123" s="17">
        <v>2</v>
      </c>
      <c r="G123" s="17">
        <v>6.7000000000000004E-2</v>
      </c>
      <c r="H123" s="17">
        <v>1E-3</v>
      </c>
      <c r="I123" s="17">
        <v>2.2080000000000002</v>
      </c>
    </row>
    <row r="124" spans="2:9" x14ac:dyDescent="0.25">
      <c r="B124" s="17"/>
      <c r="C124" s="17" t="s">
        <v>257</v>
      </c>
      <c r="D124" s="17"/>
      <c r="E124" s="17">
        <v>6.8000000000000005E-2</v>
      </c>
      <c r="F124" s="17"/>
      <c r="G124" s="17"/>
      <c r="H124" s="17"/>
      <c r="I124" s="17"/>
    </row>
    <row r="125" spans="2:9" x14ac:dyDescent="0.25">
      <c r="B125" s="17" t="s">
        <v>199</v>
      </c>
      <c r="C125" s="17" t="s">
        <v>258</v>
      </c>
      <c r="D125" s="17"/>
      <c r="E125" s="17">
        <v>0.10299999999999999</v>
      </c>
      <c r="F125" s="17">
        <v>2</v>
      </c>
      <c r="G125" s="17">
        <v>0.11</v>
      </c>
      <c r="H125" s="17">
        <v>0.01</v>
      </c>
      <c r="I125" s="17">
        <v>8.7059999999999995</v>
      </c>
    </row>
    <row r="126" spans="2:9" x14ac:dyDescent="0.25">
      <c r="B126" s="17"/>
      <c r="C126" s="17" t="s">
        <v>259</v>
      </c>
      <c r="D126" s="17"/>
      <c r="E126" s="17">
        <v>0.11600000000000001</v>
      </c>
      <c r="F126" s="17"/>
      <c r="G126" s="17"/>
      <c r="H126" s="17"/>
      <c r="I126" s="17"/>
    </row>
    <row r="127" spans="2:9" x14ac:dyDescent="0.25">
      <c r="B127" s="17" t="s">
        <v>205</v>
      </c>
      <c r="C127" s="17" t="s">
        <v>260</v>
      </c>
      <c r="D127" s="17"/>
      <c r="E127" s="17">
        <v>5.3999999999999999E-2</v>
      </c>
      <c r="F127" s="17">
        <v>2</v>
      </c>
      <c r="G127" s="17">
        <v>5.0999999999999997E-2</v>
      </c>
      <c r="H127" s="17">
        <v>5.0000000000000001E-3</v>
      </c>
      <c r="I127" s="17">
        <v>9.8729999999999993</v>
      </c>
    </row>
    <row r="128" spans="2:9" x14ac:dyDescent="0.25">
      <c r="B128" s="17"/>
      <c r="C128" s="17" t="s">
        <v>261</v>
      </c>
      <c r="D128" s="17"/>
      <c r="E128" s="17">
        <v>4.7E-2</v>
      </c>
      <c r="F128" s="17"/>
      <c r="G128" s="17"/>
      <c r="H128" s="17"/>
      <c r="I128" s="17"/>
    </row>
    <row r="129" spans="2:9" x14ac:dyDescent="0.25">
      <c r="B129" s="17" t="s">
        <v>211</v>
      </c>
      <c r="C129" s="17" t="s">
        <v>262</v>
      </c>
      <c r="D129" s="17"/>
      <c r="E129" s="17">
        <v>0.11700000000000001</v>
      </c>
      <c r="F129" s="17">
        <v>2</v>
      </c>
      <c r="G129" s="17">
        <v>0.11700000000000001</v>
      </c>
      <c r="H129" s="17">
        <v>0</v>
      </c>
      <c r="I129" s="17">
        <v>0.36399999999999999</v>
      </c>
    </row>
    <row r="130" spans="2:9" x14ac:dyDescent="0.25">
      <c r="B130" s="17"/>
      <c r="C130" s="17" t="s">
        <v>263</v>
      </c>
      <c r="D130" s="17"/>
      <c r="E130" s="17">
        <v>0.11600000000000001</v>
      </c>
      <c r="F130" s="17"/>
      <c r="G130" s="17"/>
      <c r="H130" s="17"/>
      <c r="I130" s="17"/>
    </row>
    <row r="131" spans="2:9" x14ac:dyDescent="0.25">
      <c r="B131" s="17" t="s">
        <v>217</v>
      </c>
      <c r="C131" s="17" t="s">
        <v>264</v>
      </c>
      <c r="D131" s="17"/>
      <c r="E131" s="17">
        <v>0.28299999999999997</v>
      </c>
      <c r="F131" s="17">
        <v>2</v>
      </c>
      <c r="G131" s="17">
        <v>0.27</v>
      </c>
      <c r="H131" s="17">
        <v>1.7999999999999999E-2</v>
      </c>
      <c r="I131" s="17">
        <v>6.7619999999999996</v>
      </c>
    </row>
    <row r="132" spans="2:9" x14ac:dyDescent="0.25">
      <c r="B132" s="17"/>
      <c r="C132" s="17" t="s">
        <v>265</v>
      </c>
      <c r="D132" s="17"/>
      <c r="E132" s="17">
        <v>0.25700000000000001</v>
      </c>
      <c r="F132" s="17"/>
      <c r="G132" s="17"/>
      <c r="H132" s="17"/>
      <c r="I132" s="17"/>
    </row>
    <row r="133" spans="2:9" x14ac:dyDescent="0.25">
      <c r="B133" s="17" t="s">
        <v>98</v>
      </c>
      <c r="C133" s="17" t="s">
        <v>88</v>
      </c>
      <c r="D133" s="17">
        <v>0</v>
      </c>
      <c r="E133" s="17">
        <v>5.3999999999999999E-2</v>
      </c>
      <c r="F133" s="17">
        <v>2</v>
      </c>
      <c r="G133" s="17">
        <v>4.9000000000000002E-2</v>
      </c>
      <c r="H133" s="17">
        <v>7.0000000000000001E-3</v>
      </c>
      <c r="I133" s="17">
        <v>15.069000000000001</v>
      </c>
    </row>
    <row r="134" spans="2:9" x14ac:dyDescent="0.25">
      <c r="B134" s="17"/>
      <c r="C134" s="17" t="s">
        <v>89</v>
      </c>
      <c r="D134" s="17">
        <v>0</v>
      </c>
      <c r="E134" s="17">
        <v>4.3999999999999997E-2</v>
      </c>
      <c r="F134" s="17"/>
      <c r="G134" s="17"/>
      <c r="H134" s="17"/>
      <c r="I134" s="17"/>
    </row>
    <row r="135" spans="2:9" x14ac:dyDescent="0.25">
      <c r="B135" s="17" t="s">
        <v>43</v>
      </c>
      <c r="C135" s="17" t="s">
        <v>91</v>
      </c>
      <c r="D135" s="17">
        <v>12.5</v>
      </c>
      <c r="E135" s="17">
        <v>5.6000000000000001E-2</v>
      </c>
      <c r="F135" s="17">
        <v>2</v>
      </c>
      <c r="G135" s="17">
        <v>5.6000000000000001E-2</v>
      </c>
      <c r="H135" s="17">
        <v>0</v>
      </c>
      <c r="I135" s="17">
        <v>0.125</v>
      </c>
    </row>
    <row r="136" spans="2:9" x14ac:dyDescent="0.25">
      <c r="B136" s="17"/>
      <c r="C136" s="17" t="s">
        <v>90</v>
      </c>
      <c r="D136" s="17">
        <v>12.5</v>
      </c>
      <c r="E136" s="17">
        <v>5.6000000000000001E-2</v>
      </c>
      <c r="F136" s="17"/>
      <c r="G136" s="17"/>
      <c r="H136" s="17"/>
      <c r="I136" s="17"/>
    </row>
    <row r="137" spans="2:9" x14ac:dyDescent="0.25">
      <c r="B137" s="17" t="s">
        <v>49</v>
      </c>
      <c r="C137" s="17" t="s">
        <v>92</v>
      </c>
      <c r="D137" s="17">
        <v>50</v>
      </c>
      <c r="E137" s="17">
        <v>8.7999999999999995E-2</v>
      </c>
      <c r="F137" s="17">
        <v>2</v>
      </c>
      <c r="G137" s="17">
        <v>9.2999999999999999E-2</v>
      </c>
      <c r="H137" s="17">
        <v>6.0000000000000001E-3</v>
      </c>
      <c r="I137" s="17">
        <v>6.6980000000000004</v>
      </c>
    </row>
    <row r="138" spans="2:9" x14ac:dyDescent="0.25">
      <c r="B138" s="17"/>
      <c r="C138" s="17" t="s">
        <v>93</v>
      </c>
      <c r="D138" s="17">
        <v>50</v>
      </c>
      <c r="E138" s="17">
        <v>9.7000000000000003E-2</v>
      </c>
      <c r="F138" s="17"/>
      <c r="G138" s="17"/>
      <c r="H138" s="17"/>
      <c r="I138" s="17"/>
    </row>
    <row r="139" spans="2:9" x14ac:dyDescent="0.25">
      <c r="B139" s="17" t="s">
        <v>102</v>
      </c>
      <c r="C139" s="17" t="s">
        <v>94</v>
      </c>
      <c r="D139" s="17">
        <v>100</v>
      </c>
      <c r="E139" s="17">
        <v>0.14000000000000001</v>
      </c>
      <c r="F139" s="17">
        <v>2</v>
      </c>
      <c r="G139" s="17">
        <v>0.14199999999999999</v>
      </c>
      <c r="H139" s="17">
        <v>3.0000000000000001E-3</v>
      </c>
      <c r="I139" s="17">
        <v>2.4359999999999999</v>
      </c>
    </row>
    <row r="140" spans="2:9" x14ac:dyDescent="0.25">
      <c r="B140" s="17"/>
      <c r="C140" s="17" t="s">
        <v>95</v>
      </c>
      <c r="D140" s="17">
        <v>100</v>
      </c>
      <c r="E140" s="17">
        <v>0.14499999999999999</v>
      </c>
      <c r="F140" s="17"/>
      <c r="G140" s="17"/>
      <c r="H140" s="17"/>
      <c r="I140" s="17"/>
    </row>
    <row r="141" spans="2:9" x14ac:dyDescent="0.25">
      <c r="B141" s="17" t="s">
        <v>55</v>
      </c>
      <c r="C141" s="17" t="s">
        <v>66</v>
      </c>
      <c r="D141" s="17">
        <v>150</v>
      </c>
      <c r="E141" s="17">
        <v>0.20599999999999999</v>
      </c>
      <c r="F141" s="17">
        <v>2</v>
      </c>
      <c r="G141" s="17">
        <v>0.21199999999999999</v>
      </c>
      <c r="H141" s="17">
        <v>8.0000000000000002E-3</v>
      </c>
      <c r="I141" s="17">
        <v>4.008</v>
      </c>
    </row>
    <row r="142" spans="2:9" x14ac:dyDescent="0.25">
      <c r="B142" s="17"/>
      <c r="C142" s="17" t="s">
        <v>67</v>
      </c>
      <c r="D142" s="17">
        <v>150</v>
      </c>
      <c r="E142" s="17">
        <v>0.218</v>
      </c>
      <c r="F142" s="17"/>
      <c r="G142" s="17"/>
      <c r="H142" s="17"/>
      <c r="I142" s="17"/>
    </row>
    <row r="143" spans="2:9" x14ac:dyDescent="0.25">
      <c r="B143" s="17" t="s">
        <v>134</v>
      </c>
      <c r="C143" s="17" t="s">
        <v>68</v>
      </c>
      <c r="D143" s="17">
        <v>200</v>
      </c>
      <c r="E143" s="17">
        <v>0.32100000000000001</v>
      </c>
      <c r="F143" s="17">
        <v>2</v>
      </c>
      <c r="G143" s="17">
        <v>0.28599999999999998</v>
      </c>
      <c r="H143" s="17">
        <v>4.9000000000000002E-2</v>
      </c>
      <c r="I143" s="17">
        <v>17.260999999999999</v>
      </c>
    </row>
    <row r="144" spans="2:9" x14ac:dyDescent="0.25">
      <c r="B144" s="17"/>
      <c r="C144" s="17" t="s">
        <v>69</v>
      </c>
      <c r="D144" s="17">
        <v>200</v>
      </c>
      <c r="E144" s="17">
        <v>0.251</v>
      </c>
      <c r="F144" s="17"/>
      <c r="G144" s="17"/>
      <c r="H144" s="17"/>
      <c r="I144" s="17"/>
    </row>
    <row r="146" spans="1:2" x14ac:dyDescent="0.25">
      <c r="A146" s="4" t="s">
        <v>104</v>
      </c>
      <c r="B146" s="5"/>
    </row>
    <row r="181" spans="1:10" ht="26.4" x14ac:dyDescent="0.25">
      <c r="A181" s="4" t="s">
        <v>105</v>
      </c>
      <c r="B181" s="5"/>
    </row>
    <row r="183" spans="1:10" ht="26.4" x14ac:dyDescent="0.25">
      <c r="B183" s="7" t="s">
        <v>106</v>
      </c>
      <c r="C183" s="7" t="s">
        <v>107</v>
      </c>
      <c r="D183" s="7" t="s">
        <v>35</v>
      </c>
      <c r="E183" s="7" t="s">
        <v>41</v>
      </c>
      <c r="F183" s="7" t="s">
        <v>108</v>
      </c>
      <c r="G183" s="7" t="s">
        <v>109</v>
      </c>
    </row>
    <row r="184" spans="1:10" x14ac:dyDescent="0.25">
      <c r="B184" s="17" t="s">
        <v>104</v>
      </c>
      <c r="C184" s="17" t="s">
        <v>110</v>
      </c>
      <c r="D184" s="17">
        <v>1.1800000000000001E-3</v>
      </c>
      <c r="E184" s="17">
        <v>3.9E-2</v>
      </c>
      <c r="F184" s="17">
        <v>0.98899999999999999</v>
      </c>
      <c r="G184" s="17" t="s">
        <v>99</v>
      </c>
    </row>
    <row r="186" spans="1:10" x14ac:dyDescent="0.25">
      <c r="A186" s="4" t="s">
        <v>111</v>
      </c>
      <c r="B186" s="5"/>
    </row>
    <row r="187" spans="1:10" x14ac:dyDescent="0.25">
      <c r="A187" s="1" t="s">
        <v>59</v>
      </c>
      <c r="B187" s="1">
        <v>26.8</v>
      </c>
    </row>
    <row r="189" spans="1:10" ht="26.4" x14ac:dyDescent="0.25">
      <c r="B189" s="7" t="s">
        <v>39</v>
      </c>
      <c r="C189" s="7" t="s">
        <v>60</v>
      </c>
      <c r="D189" s="7" t="s">
        <v>40</v>
      </c>
      <c r="E189" s="7">
        <v>500</v>
      </c>
      <c r="F189" s="7" t="s">
        <v>111</v>
      </c>
      <c r="G189" s="7" t="s">
        <v>61</v>
      </c>
      <c r="H189" s="7" t="s">
        <v>4</v>
      </c>
      <c r="I189" s="7" t="s">
        <v>62</v>
      </c>
      <c r="J189" s="7" t="s">
        <v>63</v>
      </c>
    </row>
    <row r="190" spans="1:10" x14ac:dyDescent="0.25">
      <c r="B190" s="17" t="s">
        <v>36</v>
      </c>
      <c r="C190" s="17" t="s">
        <v>64</v>
      </c>
      <c r="D190" s="17"/>
      <c r="E190" s="17">
        <v>4.2999999999999997E-2</v>
      </c>
      <c r="F190" s="17">
        <v>3.786</v>
      </c>
      <c r="G190" s="17">
        <v>2</v>
      </c>
      <c r="H190" s="17">
        <v>3.4039999999999999</v>
      </c>
      <c r="I190" s="17">
        <v>0.54</v>
      </c>
      <c r="J190" s="17">
        <v>15.861000000000001</v>
      </c>
    </row>
    <row r="191" spans="1:10" x14ac:dyDescent="0.25">
      <c r="B191" s="17"/>
      <c r="C191" s="17" t="s">
        <v>65</v>
      </c>
      <c r="D191" s="17"/>
      <c r="E191" s="17">
        <v>4.2999999999999997E-2</v>
      </c>
      <c r="F191" s="17">
        <v>3.0219999999999998</v>
      </c>
      <c r="G191" s="17"/>
      <c r="H191" s="17"/>
      <c r="I191" s="17"/>
      <c r="J191" s="17"/>
    </row>
    <row r="192" spans="1:10" x14ac:dyDescent="0.25">
      <c r="B192" s="17" t="s">
        <v>44</v>
      </c>
      <c r="C192" s="17" t="s">
        <v>70</v>
      </c>
      <c r="D192" s="17"/>
      <c r="E192" s="17">
        <v>0.14899999999999999</v>
      </c>
      <c r="F192" s="17">
        <v>93.709000000000003</v>
      </c>
      <c r="G192" s="17">
        <v>2</v>
      </c>
      <c r="H192" s="17">
        <v>101.514</v>
      </c>
      <c r="I192" s="17">
        <v>11.037000000000001</v>
      </c>
      <c r="J192" s="17">
        <v>10.872999999999999</v>
      </c>
    </row>
    <row r="193" spans="2:10" x14ac:dyDescent="0.25">
      <c r="B193" s="17"/>
      <c r="C193" s="17" t="s">
        <v>71</v>
      </c>
      <c r="D193" s="17"/>
      <c r="E193" s="17">
        <v>0.16800000000000001</v>
      </c>
      <c r="F193" s="17">
        <v>109.319</v>
      </c>
      <c r="G193" s="17"/>
      <c r="H193" s="17"/>
      <c r="I193" s="17"/>
      <c r="J193" s="17"/>
    </row>
    <row r="194" spans="2:10" x14ac:dyDescent="0.25">
      <c r="B194" s="17" t="s">
        <v>50</v>
      </c>
      <c r="C194" s="17" t="s">
        <v>72</v>
      </c>
      <c r="D194" s="17"/>
      <c r="E194" s="17">
        <v>0.113</v>
      </c>
      <c r="F194" s="17">
        <v>62.405999999999999</v>
      </c>
      <c r="G194" s="17">
        <v>2</v>
      </c>
      <c r="H194" s="17">
        <v>65.078000000000003</v>
      </c>
      <c r="I194" s="17">
        <v>3.7789999999999999</v>
      </c>
      <c r="J194" s="17">
        <v>5.8070000000000004</v>
      </c>
    </row>
    <row r="195" spans="2:10" x14ac:dyDescent="0.25">
      <c r="B195" s="17"/>
      <c r="C195" s="17" t="s">
        <v>73</v>
      </c>
      <c r="D195" s="17"/>
      <c r="E195" s="17">
        <v>0.11899999999999999</v>
      </c>
      <c r="F195" s="17">
        <v>67.75</v>
      </c>
      <c r="G195" s="17"/>
      <c r="H195" s="17"/>
      <c r="I195" s="17"/>
      <c r="J195" s="17"/>
    </row>
    <row r="196" spans="2:10" x14ac:dyDescent="0.25">
      <c r="B196" s="17" t="s">
        <v>56</v>
      </c>
      <c r="C196" s="17" t="s">
        <v>74</v>
      </c>
      <c r="D196" s="17"/>
      <c r="E196" s="17">
        <v>0.108</v>
      </c>
      <c r="F196" s="17">
        <v>58.843000000000004</v>
      </c>
      <c r="G196" s="17">
        <v>2</v>
      </c>
      <c r="H196" s="17">
        <v>59.732999999999997</v>
      </c>
      <c r="I196" s="17">
        <v>1.26</v>
      </c>
      <c r="J196" s="17">
        <v>2.109</v>
      </c>
    </row>
    <row r="197" spans="2:10" x14ac:dyDescent="0.25">
      <c r="B197" s="17"/>
      <c r="C197" s="17" t="s">
        <v>75</v>
      </c>
      <c r="D197" s="17"/>
      <c r="E197" s="17">
        <v>0.111</v>
      </c>
      <c r="F197" s="17">
        <v>60.624000000000002</v>
      </c>
      <c r="G197" s="17"/>
      <c r="H197" s="17"/>
      <c r="I197" s="17"/>
      <c r="J197" s="17"/>
    </row>
    <row r="198" spans="2:10" x14ac:dyDescent="0.25">
      <c r="B198" s="17" t="s">
        <v>37</v>
      </c>
      <c r="C198" s="17" t="s">
        <v>76</v>
      </c>
      <c r="D198" s="17"/>
      <c r="E198" s="17">
        <v>4.2999999999999997E-2</v>
      </c>
      <c r="F198" s="17">
        <v>3.5310000000000001</v>
      </c>
      <c r="G198" s="17">
        <v>2</v>
      </c>
      <c r="H198" s="17">
        <v>3.4039999999999999</v>
      </c>
      <c r="I198" s="17">
        <v>0.18</v>
      </c>
      <c r="J198" s="17">
        <v>5.2869999999999999</v>
      </c>
    </row>
    <row r="199" spans="2:10" x14ac:dyDescent="0.25">
      <c r="B199" s="17"/>
      <c r="C199" s="17" t="s">
        <v>77</v>
      </c>
      <c r="D199" s="17"/>
      <c r="E199" s="17">
        <v>4.2999999999999997E-2</v>
      </c>
      <c r="F199" s="17">
        <v>3.2770000000000001</v>
      </c>
      <c r="G199" s="17"/>
      <c r="H199" s="17"/>
      <c r="I199" s="17"/>
      <c r="J199" s="17"/>
    </row>
    <row r="200" spans="2:10" x14ac:dyDescent="0.25">
      <c r="B200" s="17" t="s">
        <v>45</v>
      </c>
      <c r="C200" s="17" t="s">
        <v>78</v>
      </c>
      <c r="D200" s="17"/>
      <c r="E200" s="17">
        <v>0.114</v>
      </c>
      <c r="F200" s="17">
        <v>63.762999999999998</v>
      </c>
      <c r="G200" s="17">
        <v>2</v>
      </c>
      <c r="H200" s="17">
        <v>70.253</v>
      </c>
      <c r="I200" s="17">
        <v>9.1780000000000008</v>
      </c>
      <c r="J200" s="17">
        <v>13.064</v>
      </c>
    </row>
    <row r="201" spans="2:10" x14ac:dyDescent="0.25">
      <c r="B201" s="17"/>
      <c r="C201" s="17" t="s">
        <v>79</v>
      </c>
      <c r="D201" s="17"/>
      <c r="E201" s="17">
        <v>0.13</v>
      </c>
      <c r="F201" s="17">
        <v>76.742000000000004</v>
      </c>
      <c r="G201" s="17"/>
      <c r="H201" s="17"/>
      <c r="I201" s="17"/>
      <c r="J201" s="17"/>
    </row>
    <row r="202" spans="2:10" x14ac:dyDescent="0.25">
      <c r="B202" s="17" t="s">
        <v>51</v>
      </c>
      <c r="C202" s="17" t="s">
        <v>80</v>
      </c>
      <c r="D202" s="17"/>
      <c r="E202" s="17">
        <v>5.2999999999999999E-2</v>
      </c>
      <c r="F202" s="17">
        <v>11.845000000000001</v>
      </c>
      <c r="G202" s="17">
        <v>2</v>
      </c>
      <c r="H202" s="17">
        <v>14.178000000000001</v>
      </c>
      <c r="I202" s="17">
        <v>3.2989999999999999</v>
      </c>
      <c r="J202" s="17">
        <v>23.271000000000001</v>
      </c>
    </row>
    <row r="203" spans="2:10" x14ac:dyDescent="0.25">
      <c r="B203" s="17"/>
      <c r="C203" s="17" t="s">
        <v>81</v>
      </c>
      <c r="D203" s="17"/>
      <c r="E203" s="17">
        <v>5.8999999999999997E-2</v>
      </c>
      <c r="F203" s="17">
        <v>16.510999999999999</v>
      </c>
      <c r="G203" s="17"/>
      <c r="H203" s="17"/>
      <c r="I203" s="17"/>
      <c r="J203" s="17"/>
    </row>
    <row r="204" spans="2:10" x14ac:dyDescent="0.25">
      <c r="B204" s="17" t="s">
        <v>57</v>
      </c>
      <c r="C204" s="17" t="s">
        <v>82</v>
      </c>
      <c r="D204" s="17"/>
      <c r="E204" s="17">
        <v>0.215</v>
      </c>
      <c r="F204" s="17">
        <v>149.19</v>
      </c>
      <c r="G204" s="17">
        <v>2</v>
      </c>
      <c r="H204" s="17">
        <v>112.754</v>
      </c>
      <c r="I204" s="17">
        <v>51.527999999999999</v>
      </c>
      <c r="J204" s="17">
        <v>45.7</v>
      </c>
    </row>
    <row r="205" spans="2:10" x14ac:dyDescent="0.25">
      <c r="B205" s="17"/>
      <c r="C205" s="17" t="s">
        <v>83</v>
      </c>
      <c r="D205" s="17"/>
      <c r="E205" s="17">
        <v>0.129</v>
      </c>
      <c r="F205" s="17">
        <v>76.317999999999998</v>
      </c>
      <c r="G205" s="17"/>
      <c r="H205" s="17"/>
      <c r="I205" s="17"/>
      <c r="J205" s="17"/>
    </row>
    <row r="206" spans="2:10" x14ac:dyDescent="0.25">
      <c r="B206" s="17" t="s">
        <v>38</v>
      </c>
      <c r="C206" s="17" t="s">
        <v>84</v>
      </c>
      <c r="D206" s="17"/>
      <c r="E206" s="17">
        <v>0.16200000000000001</v>
      </c>
      <c r="F206" s="17">
        <v>104.398</v>
      </c>
      <c r="G206" s="17">
        <v>2</v>
      </c>
      <c r="H206" s="17">
        <v>115.172</v>
      </c>
      <c r="I206" s="17">
        <v>15.237</v>
      </c>
      <c r="J206" s="17">
        <v>13.228999999999999</v>
      </c>
    </row>
    <row r="207" spans="2:10" x14ac:dyDescent="0.25">
      <c r="B207" s="17"/>
      <c r="C207" s="17" t="s">
        <v>85</v>
      </c>
      <c r="D207" s="17"/>
      <c r="E207" s="17">
        <v>0.188</v>
      </c>
      <c r="F207" s="17">
        <v>125.946</v>
      </c>
      <c r="G207" s="17"/>
      <c r="H207" s="17"/>
      <c r="I207" s="17"/>
      <c r="J207" s="17"/>
    </row>
    <row r="208" spans="2:10" x14ac:dyDescent="0.25">
      <c r="B208" s="17" t="s">
        <v>46</v>
      </c>
      <c r="C208" s="17" t="s">
        <v>86</v>
      </c>
      <c r="D208" s="17"/>
      <c r="E208" s="17">
        <v>0.152</v>
      </c>
      <c r="F208" s="17">
        <v>95.406000000000006</v>
      </c>
      <c r="G208" s="17">
        <v>2</v>
      </c>
      <c r="H208" s="17">
        <v>101.429</v>
      </c>
      <c r="I208" s="17">
        <v>8.5180000000000007</v>
      </c>
      <c r="J208" s="17">
        <v>8.3979999999999997</v>
      </c>
    </row>
    <row r="209" spans="2:10" x14ac:dyDescent="0.25">
      <c r="B209" s="17"/>
      <c r="C209" s="17" t="s">
        <v>87</v>
      </c>
      <c r="D209" s="17"/>
      <c r="E209" s="17">
        <v>0.16600000000000001</v>
      </c>
      <c r="F209" s="17">
        <v>107.452</v>
      </c>
      <c r="G209" s="17"/>
      <c r="H209" s="17"/>
      <c r="I209" s="17"/>
      <c r="J209" s="17"/>
    </row>
    <row r="210" spans="2:10" x14ac:dyDescent="0.25">
      <c r="B210" s="17" t="s">
        <v>52</v>
      </c>
      <c r="C210" s="17" t="s">
        <v>139</v>
      </c>
      <c r="D210" s="17"/>
      <c r="E210" s="17">
        <v>0.108</v>
      </c>
      <c r="F210" s="17">
        <v>58.334000000000003</v>
      </c>
      <c r="G210" s="17">
        <v>2</v>
      </c>
      <c r="H210" s="17">
        <v>62.024000000000001</v>
      </c>
      <c r="I210" s="17">
        <v>5.2190000000000003</v>
      </c>
      <c r="J210" s="17">
        <v>8.4139999999999997</v>
      </c>
    </row>
    <row r="211" spans="2:10" x14ac:dyDescent="0.25">
      <c r="B211" s="17"/>
      <c r="C211" s="17" t="s">
        <v>140</v>
      </c>
      <c r="D211" s="17"/>
      <c r="E211" s="17">
        <v>0.11700000000000001</v>
      </c>
      <c r="F211" s="17">
        <v>65.713999999999999</v>
      </c>
      <c r="G211" s="17"/>
      <c r="H211" s="17"/>
      <c r="I211" s="17"/>
      <c r="J211" s="17"/>
    </row>
    <row r="212" spans="2:10" x14ac:dyDescent="0.25">
      <c r="B212" s="17" t="s">
        <v>132</v>
      </c>
      <c r="C212" s="17" t="s">
        <v>141</v>
      </c>
      <c r="D212" s="17"/>
      <c r="E212" s="17">
        <v>6.7000000000000004E-2</v>
      </c>
      <c r="F212" s="17">
        <v>23.806000000000001</v>
      </c>
      <c r="G212" s="17">
        <v>2</v>
      </c>
      <c r="H212" s="17">
        <v>22.619</v>
      </c>
      <c r="I212" s="17">
        <v>1.68</v>
      </c>
      <c r="J212" s="17">
        <v>7.4260000000000002</v>
      </c>
    </row>
    <row r="213" spans="2:10" x14ac:dyDescent="0.25">
      <c r="B213" s="17"/>
      <c r="C213" s="17" t="s">
        <v>142</v>
      </c>
      <c r="D213" s="17"/>
      <c r="E213" s="17">
        <v>6.4000000000000001E-2</v>
      </c>
      <c r="F213" s="17">
        <v>21.431000000000001</v>
      </c>
      <c r="G213" s="17"/>
      <c r="H213" s="17"/>
      <c r="I213" s="17"/>
      <c r="J213" s="17"/>
    </row>
    <row r="214" spans="2:10" x14ac:dyDescent="0.25">
      <c r="B214" s="17" t="s">
        <v>135</v>
      </c>
      <c r="C214" s="17" t="s">
        <v>143</v>
      </c>
      <c r="D214" s="17"/>
      <c r="E214" s="17">
        <v>0.14499999999999999</v>
      </c>
      <c r="F214" s="17">
        <v>89.975999999999999</v>
      </c>
      <c r="G214" s="17">
        <v>2</v>
      </c>
      <c r="H214" s="17">
        <v>84.504999999999995</v>
      </c>
      <c r="I214" s="17">
        <v>7.7380000000000004</v>
      </c>
      <c r="J214" s="17">
        <v>9.157</v>
      </c>
    </row>
    <row r="215" spans="2:10" x14ac:dyDescent="0.25">
      <c r="B215" s="17"/>
      <c r="C215" s="17" t="s">
        <v>144</v>
      </c>
      <c r="D215" s="17"/>
      <c r="E215" s="17">
        <v>0.13200000000000001</v>
      </c>
      <c r="F215" s="17">
        <v>79.033000000000001</v>
      </c>
      <c r="G215" s="17"/>
      <c r="H215" s="17"/>
      <c r="I215" s="17"/>
      <c r="J215" s="17"/>
    </row>
    <row r="216" spans="2:10" x14ac:dyDescent="0.25">
      <c r="B216" s="17" t="s">
        <v>137</v>
      </c>
      <c r="C216" s="17" t="s">
        <v>145</v>
      </c>
      <c r="D216" s="17"/>
      <c r="E216" s="17">
        <v>4.7E-2</v>
      </c>
      <c r="F216" s="17">
        <v>6.3310000000000004</v>
      </c>
      <c r="G216" s="17">
        <v>2</v>
      </c>
      <c r="H216" s="17">
        <v>6.2460000000000004</v>
      </c>
      <c r="I216" s="17">
        <v>0.12</v>
      </c>
      <c r="J216" s="17">
        <v>1.921</v>
      </c>
    </row>
    <row r="217" spans="2:10" x14ac:dyDescent="0.25">
      <c r="B217" s="17"/>
      <c r="C217" s="17" t="s">
        <v>146</v>
      </c>
      <c r="D217" s="17"/>
      <c r="E217" s="17">
        <v>4.5999999999999999E-2</v>
      </c>
      <c r="F217" s="17">
        <v>6.1609999999999996</v>
      </c>
      <c r="G217" s="17"/>
      <c r="H217" s="17"/>
      <c r="I217" s="17"/>
      <c r="J217" s="17"/>
    </row>
    <row r="218" spans="2:10" x14ac:dyDescent="0.25">
      <c r="B218" s="17" t="s">
        <v>131</v>
      </c>
      <c r="C218" s="17" t="s">
        <v>147</v>
      </c>
      <c r="D218" s="17"/>
      <c r="E218" s="17">
        <v>5.8000000000000003E-2</v>
      </c>
      <c r="F218" s="17">
        <v>16.001999999999999</v>
      </c>
      <c r="G218" s="17">
        <v>2</v>
      </c>
      <c r="H218" s="17">
        <v>16.68</v>
      </c>
      <c r="I218" s="17">
        <v>0.96</v>
      </c>
      <c r="J218" s="17">
        <v>5.7539999999999996</v>
      </c>
    </row>
    <row r="219" spans="2:10" x14ac:dyDescent="0.25">
      <c r="B219" s="17"/>
      <c r="C219" s="17" t="s">
        <v>148</v>
      </c>
      <c r="D219" s="17"/>
      <c r="E219" s="17">
        <v>5.8999999999999997E-2</v>
      </c>
      <c r="F219" s="17">
        <v>17.359000000000002</v>
      </c>
      <c r="G219" s="17"/>
      <c r="H219" s="17"/>
      <c r="I219" s="17"/>
      <c r="J219" s="17"/>
    </row>
    <row r="220" spans="2:10" x14ac:dyDescent="0.25">
      <c r="B220" s="17" t="s">
        <v>133</v>
      </c>
      <c r="C220" s="17" t="s">
        <v>149</v>
      </c>
      <c r="D220" s="17"/>
      <c r="E220" s="17">
        <v>0.123</v>
      </c>
      <c r="F220" s="17">
        <v>71.227999999999994</v>
      </c>
      <c r="G220" s="17">
        <v>2</v>
      </c>
      <c r="H220" s="17">
        <v>68.852999999999994</v>
      </c>
      <c r="I220" s="17">
        <v>3.359</v>
      </c>
      <c r="J220" s="17">
        <v>4.8789999999999996</v>
      </c>
    </row>
    <row r="221" spans="2:10" x14ac:dyDescent="0.25">
      <c r="B221" s="17"/>
      <c r="C221" s="17" t="s">
        <v>150</v>
      </c>
      <c r="D221" s="17"/>
      <c r="E221" s="17">
        <v>0.11700000000000001</v>
      </c>
      <c r="F221" s="17">
        <v>66.477999999999994</v>
      </c>
      <c r="G221" s="17"/>
      <c r="H221" s="17"/>
      <c r="I221" s="17"/>
      <c r="J221" s="17"/>
    </row>
    <row r="222" spans="2:10" x14ac:dyDescent="0.25">
      <c r="B222" s="17" t="s">
        <v>136</v>
      </c>
      <c r="C222" s="17" t="s">
        <v>151</v>
      </c>
      <c r="D222" s="17"/>
      <c r="E222" s="17">
        <v>4.2999999999999997E-2</v>
      </c>
      <c r="F222" s="17">
        <v>3.1920000000000002</v>
      </c>
      <c r="G222" s="17">
        <v>2</v>
      </c>
      <c r="H222" s="17">
        <v>3.4889999999999999</v>
      </c>
      <c r="I222" s="17">
        <v>0.42</v>
      </c>
      <c r="J222" s="17">
        <v>12.036</v>
      </c>
    </row>
    <row r="223" spans="2:10" x14ac:dyDescent="0.25">
      <c r="B223" s="17"/>
      <c r="C223" s="17" t="s">
        <v>152</v>
      </c>
      <c r="D223" s="17"/>
      <c r="E223" s="17">
        <v>4.2999999999999997E-2</v>
      </c>
      <c r="F223" s="17">
        <v>3.786</v>
      </c>
      <c r="G223" s="17"/>
      <c r="H223" s="17"/>
      <c r="I223" s="17"/>
      <c r="J223" s="17"/>
    </row>
    <row r="224" spans="2:10" x14ac:dyDescent="0.25">
      <c r="B224" s="17" t="s">
        <v>138</v>
      </c>
      <c r="C224" s="17" t="s">
        <v>153</v>
      </c>
      <c r="D224" s="17"/>
      <c r="E224" s="17">
        <v>0.106</v>
      </c>
      <c r="F224" s="17">
        <v>57.061</v>
      </c>
      <c r="G224" s="17">
        <v>2</v>
      </c>
      <c r="H224" s="17">
        <v>55.237000000000002</v>
      </c>
      <c r="I224" s="17">
        <v>2.5790000000000002</v>
      </c>
      <c r="J224" s="17">
        <v>4.67</v>
      </c>
    </row>
    <row r="225" spans="2:10" x14ac:dyDescent="0.25">
      <c r="B225" s="17"/>
      <c r="C225" s="17" t="s">
        <v>154</v>
      </c>
      <c r="D225" s="17"/>
      <c r="E225" s="17">
        <v>0.10199999999999999</v>
      </c>
      <c r="F225" s="17">
        <v>53.412999999999997</v>
      </c>
      <c r="G225" s="17"/>
      <c r="H225" s="17"/>
      <c r="I225" s="17"/>
      <c r="J225" s="17"/>
    </row>
    <row r="226" spans="2:10" x14ac:dyDescent="0.25">
      <c r="B226" s="17" t="s">
        <v>194</v>
      </c>
      <c r="C226" s="17" t="s">
        <v>218</v>
      </c>
      <c r="D226" s="17"/>
      <c r="E226" s="17">
        <v>0.188</v>
      </c>
      <c r="F226" s="17">
        <v>126.455</v>
      </c>
      <c r="G226" s="17">
        <v>2</v>
      </c>
      <c r="H226" s="17">
        <v>140.495</v>
      </c>
      <c r="I226" s="17">
        <v>19.855</v>
      </c>
      <c r="J226" s="17">
        <v>14.132999999999999</v>
      </c>
    </row>
    <row r="227" spans="2:10" x14ac:dyDescent="0.25">
      <c r="B227" s="17"/>
      <c r="C227" s="17" t="s">
        <v>219</v>
      </c>
      <c r="D227" s="17"/>
      <c r="E227" s="17">
        <v>0.221</v>
      </c>
      <c r="F227" s="17">
        <v>154.535</v>
      </c>
      <c r="G227" s="17"/>
      <c r="H227" s="17"/>
      <c r="I227" s="17"/>
      <c r="J227" s="17"/>
    </row>
    <row r="228" spans="2:10" x14ac:dyDescent="0.25">
      <c r="B228" s="17" t="s">
        <v>200</v>
      </c>
      <c r="C228" s="17" t="s">
        <v>220</v>
      </c>
      <c r="D228" s="17"/>
      <c r="E228" s="17">
        <v>0.1</v>
      </c>
      <c r="F228" s="17">
        <v>51.377000000000002</v>
      </c>
      <c r="G228" s="17">
        <v>2</v>
      </c>
      <c r="H228" s="17">
        <v>43.741999999999997</v>
      </c>
      <c r="I228" s="17">
        <v>10.798</v>
      </c>
      <c r="J228" s="17">
        <v>24.684999999999999</v>
      </c>
    </row>
    <row r="229" spans="2:10" x14ac:dyDescent="0.25">
      <c r="B229" s="17"/>
      <c r="C229" s="17" t="s">
        <v>221</v>
      </c>
      <c r="D229" s="17"/>
      <c r="E229" s="17">
        <v>8.2000000000000003E-2</v>
      </c>
      <c r="F229" s="17">
        <v>36.106999999999999</v>
      </c>
      <c r="G229" s="17"/>
      <c r="H229" s="17"/>
      <c r="I229" s="17"/>
      <c r="J229" s="17"/>
    </row>
    <row r="230" spans="2:10" x14ac:dyDescent="0.25">
      <c r="B230" s="17" t="s">
        <v>206</v>
      </c>
      <c r="C230" s="17" t="s">
        <v>222</v>
      </c>
      <c r="D230" s="17"/>
      <c r="E230" s="17">
        <v>9.6000000000000002E-2</v>
      </c>
      <c r="F230" s="17">
        <v>48.408000000000001</v>
      </c>
      <c r="G230" s="17">
        <v>2</v>
      </c>
      <c r="H230" s="17">
        <v>50.317</v>
      </c>
      <c r="I230" s="17">
        <v>2.6989999999999998</v>
      </c>
      <c r="J230" s="17">
        <v>5.3650000000000002</v>
      </c>
    </row>
    <row r="231" spans="2:10" x14ac:dyDescent="0.25">
      <c r="B231" s="17"/>
      <c r="C231" s="17" t="s">
        <v>223</v>
      </c>
      <c r="D231" s="17"/>
      <c r="E231" s="17">
        <v>0.10100000000000001</v>
      </c>
      <c r="F231" s="17">
        <v>52.225999999999999</v>
      </c>
      <c r="G231" s="17"/>
      <c r="H231" s="17"/>
      <c r="I231" s="17"/>
      <c r="J231" s="17"/>
    </row>
    <row r="232" spans="2:10" x14ac:dyDescent="0.25">
      <c r="B232" s="17" t="s">
        <v>212</v>
      </c>
      <c r="C232" s="17" t="s">
        <v>224</v>
      </c>
      <c r="D232" s="17"/>
      <c r="E232" s="17">
        <v>0.16400000000000001</v>
      </c>
      <c r="F232" s="17">
        <v>105.586</v>
      </c>
      <c r="G232" s="17">
        <v>2</v>
      </c>
      <c r="H232" s="17">
        <v>99.775000000000006</v>
      </c>
      <c r="I232" s="17">
        <v>8.218</v>
      </c>
      <c r="J232" s="17">
        <v>8.2370000000000001</v>
      </c>
    </row>
    <row r="233" spans="2:10" x14ac:dyDescent="0.25">
      <c r="B233" s="17"/>
      <c r="C233" s="17" t="s">
        <v>225</v>
      </c>
      <c r="D233" s="17"/>
      <c r="E233" s="17">
        <v>0.15</v>
      </c>
      <c r="F233" s="17">
        <v>93.963999999999999</v>
      </c>
      <c r="G233" s="17"/>
      <c r="H233" s="17"/>
      <c r="I233" s="17"/>
      <c r="J233" s="17"/>
    </row>
    <row r="234" spans="2:10" x14ac:dyDescent="0.25">
      <c r="B234" s="17" t="s">
        <v>195</v>
      </c>
      <c r="C234" s="17" t="s">
        <v>226</v>
      </c>
      <c r="D234" s="17"/>
      <c r="E234" s="17">
        <v>8.1000000000000003E-2</v>
      </c>
      <c r="F234" s="17">
        <v>35.853000000000002</v>
      </c>
      <c r="G234" s="17">
        <v>2</v>
      </c>
      <c r="H234" s="17">
        <v>38.481999999999999</v>
      </c>
      <c r="I234" s="17">
        <v>3.7189999999999999</v>
      </c>
      <c r="J234" s="17">
        <v>9.6649999999999991</v>
      </c>
    </row>
    <row r="235" spans="2:10" x14ac:dyDescent="0.25">
      <c r="B235" s="17"/>
      <c r="C235" s="17" t="s">
        <v>227</v>
      </c>
      <c r="D235" s="17"/>
      <c r="E235" s="17">
        <v>8.6999999999999994E-2</v>
      </c>
      <c r="F235" s="17">
        <v>41.112000000000002</v>
      </c>
      <c r="G235" s="17"/>
      <c r="H235" s="17"/>
      <c r="I235" s="17"/>
      <c r="J235" s="17"/>
    </row>
    <row r="236" spans="2:10" x14ac:dyDescent="0.25">
      <c r="B236" s="17" t="s">
        <v>201</v>
      </c>
      <c r="C236" s="17" t="s">
        <v>228</v>
      </c>
      <c r="D236" s="17"/>
      <c r="E236" s="17">
        <v>0.23400000000000001</v>
      </c>
      <c r="F236" s="17">
        <v>165.39400000000001</v>
      </c>
      <c r="G236" s="17">
        <v>2</v>
      </c>
      <c r="H236" s="17">
        <v>167.345</v>
      </c>
      <c r="I236" s="17">
        <v>2.7589999999999999</v>
      </c>
      <c r="J236" s="17">
        <v>1.649</v>
      </c>
    </row>
    <row r="237" spans="2:10" x14ac:dyDescent="0.25">
      <c r="B237" s="17"/>
      <c r="C237" s="17" t="s">
        <v>229</v>
      </c>
      <c r="D237" s="17"/>
      <c r="E237" s="17">
        <v>0.23899999999999999</v>
      </c>
      <c r="F237" s="17">
        <v>169.29599999999999</v>
      </c>
      <c r="G237" s="17"/>
      <c r="H237" s="17"/>
      <c r="I237" s="17"/>
      <c r="J237" s="17"/>
    </row>
    <row r="238" spans="2:10" x14ac:dyDescent="0.25">
      <c r="B238" s="17" t="s">
        <v>207</v>
      </c>
      <c r="C238" s="17" t="s">
        <v>230</v>
      </c>
      <c r="D238" s="17"/>
      <c r="E238" s="17">
        <v>0.10299999999999999</v>
      </c>
      <c r="F238" s="17">
        <v>53.921999999999997</v>
      </c>
      <c r="G238" s="17">
        <v>2</v>
      </c>
      <c r="H238" s="17">
        <v>61.174999999999997</v>
      </c>
      <c r="I238" s="17">
        <v>10.257999999999999</v>
      </c>
      <c r="J238" s="17">
        <v>16.768000000000001</v>
      </c>
    </row>
    <row r="239" spans="2:10" x14ac:dyDescent="0.25">
      <c r="B239" s="17"/>
      <c r="C239" s="17" t="s">
        <v>231</v>
      </c>
      <c r="D239" s="17"/>
      <c r="E239" s="17">
        <v>0.12</v>
      </c>
      <c r="F239" s="17">
        <v>68.429000000000002</v>
      </c>
      <c r="G239" s="17"/>
      <c r="H239" s="17"/>
      <c r="I239" s="17"/>
      <c r="J239" s="17"/>
    </row>
    <row r="240" spans="2:10" x14ac:dyDescent="0.25">
      <c r="B240" s="17" t="s">
        <v>213</v>
      </c>
      <c r="C240" s="17" t="s">
        <v>232</v>
      </c>
      <c r="D240" s="17"/>
      <c r="E240" s="17">
        <v>4.2999999999999997E-2</v>
      </c>
      <c r="F240" s="17">
        <v>3.5310000000000001</v>
      </c>
      <c r="G240" s="17">
        <v>2</v>
      </c>
      <c r="H240" s="17">
        <v>4.4219999999999997</v>
      </c>
      <c r="I240" s="17">
        <v>1.26</v>
      </c>
      <c r="J240" s="17">
        <v>28.489000000000001</v>
      </c>
    </row>
    <row r="241" spans="2:10" x14ac:dyDescent="0.25">
      <c r="B241" s="17"/>
      <c r="C241" s="17" t="s">
        <v>233</v>
      </c>
      <c r="D241" s="17"/>
      <c r="E241" s="17">
        <v>4.4999999999999998E-2</v>
      </c>
      <c r="F241" s="17">
        <v>5.3129999999999997</v>
      </c>
      <c r="G241" s="17"/>
      <c r="H241" s="17"/>
      <c r="I241" s="17"/>
      <c r="J241" s="17"/>
    </row>
    <row r="242" spans="2:10" x14ac:dyDescent="0.25">
      <c r="B242" s="17" t="s">
        <v>196</v>
      </c>
      <c r="C242" s="17" t="s">
        <v>234</v>
      </c>
      <c r="D242" s="17"/>
      <c r="E242" s="17">
        <v>7.2999999999999995E-2</v>
      </c>
      <c r="F242" s="17">
        <v>28.641999999999999</v>
      </c>
      <c r="G242" s="17">
        <v>2</v>
      </c>
      <c r="H242" s="17">
        <v>31.271999999999998</v>
      </c>
      <c r="I242" s="17">
        <v>3.7189999999999999</v>
      </c>
      <c r="J242" s="17">
        <v>11.893000000000001</v>
      </c>
    </row>
    <row r="243" spans="2:10" x14ac:dyDescent="0.25">
      <c r="B243" s="17"/>
      <c r="C243" s="17" t="s">
        <v>235</v>
      </c>
      <c r="D243" s="17"/>
      <c r="E243" s="17">
        <v>7.9000000000000001E-2</v>
      </c>
      <c r="F243" s="17">
        <v>33.901000000000003</v>
      </c>
      <c r="G243" s="17"/>
      <c r="H243" s="17"/>
      <c r="I243" s="17"/>
      <c r="J243" s="17"/>
    </row>
    <row r="244" spans="2:10" x14ac:dyDescent="0.25">
      <c r="B244" s="17" t="s">
        <v>202</v>
      </c>
      <c r="C244" s="17" t="s">
        <v>236</v>
      </c>
      <c r="D244" s="17"/>
      <c r="E244" s="17">
        <v>5.5E-2</v>
      </c>
      <c r="F244" s="17">
        <v>13.711</v>
      </c>
      <c r="G244" s="17">
        <v>2</v>
      </c>
      <c r="H244" s="17">
        <v>15.196</v>
      </c>
      <c r="I244" s="17">
        <v>2.1</v>
      </c>
      <c r="J244" s="17">
        <v>13.817</v>
      </c>
    </row>
    <row r="245" spans="2:10" x14ac:dyDescent="0.25">
      <c r="B245" s="17"/>
      <c r="C245" s="17" t="s">
        <v>237</v>
      </c>
      <c r="D245" s="17"/>
      <c r="E245" s="17">
        <v>5.8999999999999997E-2</v>
      </c>
      <c r="F245" s="17">
        <v>16.68</v>
      </c>
      <c r="G245" s="17"/>
      <c r="H245" s="17"/>
      <c r="I245" s="17"/>
      <c r="J245" s="17"/>
    </row>
    <row r="246" spans="2:10" x14ac:dyDescent="0.25">
      <c r="B246" s="17" t="s">
        <v>208</v>
      </c>
      <c r="C246" s="17" t="s">
        <v>238</v>
      </c>
      <c r="D246" s="17"/>
      <c r="E246" s="17">
        <v>4.2999999999999997E-2</v>
      </c>
      <c r="F246" s="17">
        <v>3.3610000000000002</v>
      </c>
      <c r="G246" s="17">
        <v>2</v>
      </c>
      <c r="H246" s="17">
        <v>34.113999999999997</v>
      </c>
      <c r="I246" s="17">
        <v>43.49</v>
      </c>
      <c r="J246" s="17">
        <v>127.486</v>
      </c>
    </row>
    <row r="247" spans="2:10" x14ac:dyDescent="0.25">
      <c r="B247" s="17"/>
      <c r="C247" s="17" t="s">
        <v>239</v>
      </c>
      <c r="D247" s="17"/>
      <c r="E247" s="17">
        <v>0.11600000000000001</v>
      </c>
      <c r="F247" s="17">
        <v>64.866</v>
      </c>
      <c r="G247" s="17"/>
      <c r="H247" s="17"/>
      <c r="I247" s="17"/>
      <c r="J247" s="17"/>
    </row>
    <row r="248" spans="2:10" x14ac:dyDescent="0.25">
      <c r="B248" s="17" t="s">
        <v>214</v>
      </c>
      <c r="C248" s="17" t="s">
        <v>240</v>
      </c>
      <c r="D248" s="17"/>
      <c r="E248" s="17">
        <v>0.11899999999999999</v>
      </c>
      <c r="F248" s="17">
        <v>67.58</v>
      </c>
      <c r="G248" s="17">
        <v>2</v>
      </c>
      <c r="H248" s="17">
        <v>76.403000000000006</v>
      </c>
      <c r="I248" s="17">
        <v>12.477</v>
      </c>
      <c r="J248" s="17">
        <v>16.331</v>
      </c>
    </row>
    <row r="249" spans="2:10" x14ac:dyDescent="0.25">
      <c r="B249" s="17"/>
      <c r="C249" s="17" t="s">
        <v>241</v>
      </c>
      <c r="D249" s="17"/>
      <c r="E249" s="17">
        <v>0.14000000000000001</v>
      </c>
      <c r="F249" s="17">
        <v>85.225999999999999</v>
      </c>
      <c r="G249" s="17"/>
      <c r="H249" s="17"/>
      <c r="I249" s="17"/>
      <c r="J249" s="17"/>
    </row>
    <row r="250" spans="2:10" x14ac:dyDescent="0.25">
      <c r="B250" s="17" t="s">
        <v>197</v>
      </c>
      <c r="C250" s="17" t="s">
        <v>242</v>
      </c>
      <c r="D250" s="17"/>
      <c r="E250" s="17">
        <v>0.111</v>
      </c>
      <c r="F250" s="17">
        <v>61.048000000000002</v>
      </c>
      <c r="G250" s="17">
        <v>2</v>
      </c>
      <c r="H250" s="17">
        <v>66.477999999999994</v>
      </c>
      <c r="I250" s="17">
        <v>7.6779999999999999</v>
      </c>
      <c r="J250" s="17">
        <v>11.55</v>
      </c>
    </row>
    <row r="251" spans="2:10" x14ac:dyDescent="0.25">
      <c r="B251" s="17"/>
      <c r="C251" s="17" t="s">
        <v>243</v>
      </c>
      <c r="D251" s="17"/>
      <c r="E251" s="17">
        <v>0.124</v>
      </c>
      <c r="F251" s="17">
        <v>71.906999999999996</v>
      </c>
      <c r="G251" s="17"/>
      <c r="H251" s="17"/>
      <c r="I251" s="17"/>
      <c r="J251" s="17"/>
    </row>
    <row r="252" spans="2:10" x14ac:dyDescent="0.25">
      <c r="B252" s="17" t="s">
        <v>203</v>
      </c>
      <c r="C252" s="17" t="s">
        <v>244</v>
      </c>
      <c r="D252" s="17"/>
      <c r="E252" s="17">
        <v>0.19700000000000001</v>
      </c>
      <c r="F252" s="17">
        <v>134.26</v>
      </c>
      <c r="G252" s="17">
        <v>2</v>
      </c>
      <c r="H252" s="17">
        <v>143.167</v>
      </c>
      <c r="I252" s="17">
        <v>12.597</v>
      </c>
      <c r="J252" s="17">
        <v>8.7989999999999995</v>
      </c>
    </row>
    <row r="253" spans="2:10" x14ac:dyDescent="0.25">
      <c r="B253" s="17"/>
      <c r="C253" s="17" t="s">
        <v>245</v>
      </c>
      <c r="D253" s="17"/>
      <c r="E253" s="17">
        <v>0.218</v>
      </c>
      <c r="F253" s="17">
        <v>152.07499999999999</v>
      </c>
      <c r="G253" s="17"/>
      <c r="H253" s="17"/>
      <c r="I253" s="17"/>
      <c r="J253" s="17"/>
    </row>
    <row r="254" spans="2:10" x14ac:dyDescent="0.25">
      <c r="B254" s="17" t="s">
        <v>209</v>
      </c>
      <c r="C254" s="17" t="s">
        <v>246</v>
      </c>
      <c r="D254" s="17"/>
      <c r="E254" s="17">
        <v>0.14199999999999999</v>
      </c>
      <c r="F254" s="17">
        <v>87.686000000000007</v>
      </c>
      <c r="G254" s="17">
        <v>2</v>
      </c>
      <c r="H254" s="17">
        <v>99.266000000000005</v>
      </c>
      <c r="I254" s="17">
        <v>16.376000000000001</v>
      </c>
      <c r="J254" s="17">
        <v>16.497</v>
      </c>
    </row>
    <row r="255" spans="2:10" x14ac:dyDescent="0.25">
      <c r="B255" s="17"/>
      <c r="C255" s="17" t="s">
        <v>247</v>
      </c>
      <c r="D255" s="17"/>
      <c r="E255" s="17">
        <v>0.17</v>
      </c>
      <c r="F255" s="17">
        <v>110.846</v>
      </c>
      <c r="G255" s="17"/>
      <c r="H255" s="17"/>
      <c r="I255" s="17"/>
      <c r="J255" s="17"/>
    </row>
    <row r="256" spans="2:10" x14ac:dyDescent="0.25">
      <c r="B256" s="17" t="s">
        <v>215</v>
      </c>
      <c r="C256" s="17" t="s">
        <v>248</v>
      </c>
      <c r="D256" s="17"/>
      <c r="E256" s="17">
        <v>5.2999999999999999E-2</v>
      </c>
      <c r="F256" s="17">
        <v>12.269</v>
      </c>
      <c r="G256" s="17">
        <v>2</v>
      </c>
      <c r="H256" s="17">
        <v>7.1790000000000003</v>
      </c>
      <c r="I256" s="17">
        <v>7.1980000000000004</v>
      </c>
      <c r="J256" s="17">
        <v>100.271</v>
      </c>
    </row>
    <row r="257" spans="2:10" x14ac:dyDescent="0.25">
      <c r="B257" s="17"/>
      <c r="C257" s="17" t="s">
        <v>249</v>
      </c>
      <c r="D257" s="17"/>
      <c r="E257" s="17">
        <v>4.2000000000000003E-2</v>
      </c>
      <c r="F257" s="17">
        <v>2.089</v>
      </c>
      <c r="G257" s="17"/>
      <c r="H257" s="17"/>
      <c r="I257" s="17"/>
      <c r="J257" s="17"/>
    </row>
    <row r="258" spans="2:10" x14ac:dyDescent="0.25">
      <c r="B258" s="17" t="s">
        <v>198</v>
      </c>
      <c r="C258" s="17" t="s">
        <v>250</v>
      </c>
      <c r="D258" s="17"/>
      <c r="E258" s="17">
        <v>0.111</v>
      </c>
      <c r="F258" s="17">
        <v>60.963000000000001</v>
      </c>
      <c r="G258" s="17">
        <v>2</v>
      </c>
      <c r="H258" s="17">
        <v>64.186999999999998</v>
      </c>
      <c r="I258" s="17">
        <v>4.5590000000000002</v>
      </c>
      <c r="J258" s="17">
        <v>7.1029999999999998</v>
      </c>
    </row>
    <row r="259" spans="2:10" x14ac:dyDescent="0.25">
      <c r="B259" s="17"/>
      <c r="C259" s="17" t="s">
        <v>251</v>
      </c>
      <c r="D259" s="17"/>
      <c r="E259" s="17">
        <v>0.11799999999999999</v>
      </c>
      <c r="F259" s="17">
        <v>67.411000000000001</v>
      </c>
      <c r="G259" s="17"/>
      <c r="H259" s="17"/>
      <c r="I259" s="17"/>
      <c r="J259" s="17"/>
    </row>
    <row r="260" spans="2:10" x14ac:dyDescent="0.25">
      <c r="B260" s="17" t="s">
        <v>204</v>
      </c>
      <c r="C260" s="17" t="s">
        <v>252</v>
      </c>
      <c r="D260" s="17"/>
      <c r="E260" s="17">
        <v>0.114</v>
      </c>
      <c r="F260" s="17">
        <v>63.593000000000004</v>
      </c>
      <c r="G260" s="17">
        <v>2</v>
      </c>
      <c r="H260" s="17">
        <v>65.204999999999998</v>
      </c>
      <c r="I260" s="17">
        <v>2.2789999999999999</v>
      </c>
      <c r="J260" s="17">
        <v>3.496</v>
      </c>
    </row>
    <row r="261" spans="2:10" x14ac:dyDescent="0.25">
      <c r="B261" s="17"/>
      <c r="C261" s="17" t="s">
        <v>253</v>
      </c>
      <c r="D261" s="17"/>
      <c r="E261" s="17">
        <v>0.11799999999999999</v>
      </c>
      <c r="F261" s="17">
        <v>66.816999999999993</v>
      </c>
      <c r="G261" s="17"/>
      <c r="H261" s="17"/>
      <c r="I261" s="17"/>
      <c r="J261" s="17"/>
    </row>
    <row r="262" spans="2:10" x14ac:dyDescent="0.25">
      <c r="B262" s="17" t="s">
        <v>210</v>
      </c>
      <c r="C262" s="17" t="s">
        <v>254</v>
      </c>
      <c r="D262" s="17"/>
      <c r="E262" s="17">
        <v>4.2000000000000003E-2</v>
      </c>
      <c r="F262" s="17">
        <v>2.6829999999999998</v>
      </c>
      <c r="G262" s="17">
        <v>2</v>
      </c>
      <c r="H262" s="17">
        <v>3.3610000000000002</v>
      </c>
      <c r="I262" s="17">
        <v>0.96</v>
      </c>
      <c r="J262" s="17">
        <v>28.553000000000001</v>
      </c>
    </row>
    <row r="263" spans="2:10" x14ac:dyDescent="0.25">
      <c r="B263" s="17"/>
      <c r="C263" s="17" t="s">
        <v>255</v>
      </c>
      <c r="D263" s="17"/>
      <c r="E263" s="17">
        <v>4.3999999999999997E-2</v>
      </c>
      <c r="F263" s="17">
        <v>4.04</v>
      </c>
      <c r="G263" s="17"/>
      <c r="H263" s="17"/>
      <c r="I263" s="17"/>
      <c r="J263" s="17"/>
    </row>
    <row r="264" spans="2:10" x14ac:dyDescent="0.25">
      <c r="B264" s="17" t="s">
        <v>216</v>
      </c>
      <c r="C264" s="17" t="s">
        <v>256</v>
      </c>
      <c r="D264" s="17"/>
      <c r="E264" s="17">
        <v>6.6000000000000003E-2</v>
      </c>
      <c r="F264" s="17">
        <v>23.042999999999999</v>
      </c>
      <c r="G264" s="17">
        <v>2</v>
      </c>
      <c r="H264" s="17">
        <v>23.934000000000001</v>
      </c>
      <c r="I264" s="17">
        <v>1.26</v>
      </c>
      <c r="J264" s="17">
        <v>5.2629999999999999</v>
      </c>
    </row>
    <row r="265" spans="2:10" x14ac:dyDescent="0.25">
      <c r="B265" s="17"/>
      <c r="C265" s="17" t="s">
        <v>257</v>
      </c>
      <c r="D265" s="17"/>
      <c r="E265" s="17">
        <v>6.8000000000000005E-2</v>
      </c>
      <c r="F265" s="17">
        <v>24.824000000000002</v>
      </c>
      <c r="G265" s="17"/>
      <c r="H265" s="17"/>
      <c r="I265" s="17"/>
      <c r="J265" s="17"/>
    </row>
    <row r="266" spans="2:10" x14ac:dyDescent="0.25">
      <c r="B266" s="17" t="s">
        <v>199</v>
      </c>
      <c r="C266" s="17" t="s">
        <v>258</v>
      </c>
      <c r="D266" s="17"/>
      <c r="E266" s="17">
        <v>0.10299999999999999</v>
      </c>
      <c r="F266" s="17">
        <v>54.177</v>
      </c>
      <c r="G266" s="17">
        <v>2</v>
      </c>
      <c r="H266" s="17">
        <v>59.902999999999999</v>
      </c>
      <c r="I266" s="17">
        <v>8.0980000000000008</v>
      </c>
      <c r="J266" s="17">
        <v>13.519</v>
      </c>
    </row>
    <row r="267" spans="2:10" x14ac:dyDescent="0.25">
      <c r="B267" s="17"/>
      <c r="C267" s="17" t="s">
        <v>259</v>
      </c>
      <c r="D267" s="17"/>
      <c r="E267" s="17">
        <v>0.11600000000000001</v>
      </c>
      <c r="F267" s="17">
        <v>65.629000000000005</v>
      </c>
      <c r="G267" s="17"/>
      <c r="H267" s="17"/>
      <c r="I267" s="17"/>
      <c r="J267" s="17"/>
    </row>
    <row r="268" spans="2:10" x14ac:dyDescent="0.25">
      <c r="B268" s="17" t="s">
        <v>205</v>
      </c>
      <c r="C268" s="17" t="s">
        <v>260</v>
      </c>
      <c r="D268" s="17"/>
      <c r="E268" s="17">
        <v>5.3999999999999999E-2</v>
      </c>
      <c r="F268" s="17">
        <v>13.032</v>
      </c>
      <c r="G268" s="17">
        <v>2</v>
      </c>
      <c r="H268" s="17">
        <v>10.021000000000001</v>
      </c>
      <c r="I268" s="17">
        <v>4.2590000000000003</v>
      </c>
      <c r="J268" s="17">
        <v>42.502000000000002</v>
      </c>
    </row>
    <row r="269" spans="2:10" x14ac:dyDescent="0.25">
      <c r="B269" s="17"/>
      <c r="C269" s="17" t="s">
        <v>261</v>
      </c>
      <c r="D269" s="17"/>
      <c r="E269" s="17">
        <v>4.7E-2</v>
      </c>
      <c r="F269" s="17">
        <v>7.0090000000000003</v>
      </c>
      <c r="G269" s="17"/>
      <c r="H269" s="17"/>
      <c r="I269" s="17"/>
      <c r="J269" s="17"/>
    </row>
    <row r="270" spans="2:10" x14ac:dyDescent="0.25">
      <c r="B270" s="17" t="s">
        <v>211</v>
      </c>
      <c r="C270" s="17" t="s">
        <v>262</v>
      </c>
      <c r="D270" s="17"/>
      <c r="E270" s="17">
        <v>0.11700000000000001</v>
      </c>
      <c r="F270" s="17">
        <v>66.052999999999997</v>
      </c>
      <c r="G270" s="17">
        <v>2</v>
      </c>
      <c r="H270" s="17">
        <v>65.799000000000007</v>
      </c>
      <c r="I270" s="17">
        <v>0.36</v>
      </c>
      <c r="J270" s="17">
        <v>0.54700000000000004</v>
      </c>
    </row>
    <row r="271" spans="2:10" x14ac:dyDescent="0.25">
      <c r="B271" s="17"/>
      <c r="C271" s="17" t="s">
        <v>263</v>
      </c>
      <c r="D271" s="17"/>
      <c r="E271" s="17">
        <v>0.11600000000000001</v>
      </c>
      <c r="F271" s="17">
        <v>65.543999999999997</v>
      </c>
      <c r="G271" s="17"/>
      <c r="H271" s="17"/>
      <c r="I271" s="17"/>
      <c r="J271" s="17"/>
    </row>
    <row r="272" spans="2:10" x14ac:dyDescent="0.25">
      <c r="B272" s="17" t="s">
        <v>217</v>
      </c>
      <c r="C272" s="17" t="s">
        <v>264</v>
      </c>
      <c r="D272" s="17"/>
      <c r="E272" s="17">
        <v>0.28299999999999997</v>
      </c>
      <c r="F272" s="17">
        <v>206.70699999999999</v>
      </c>
      <c r="G272" s="17">
        <v>2</v>
      </c>
      <c r="H272" s="17">
        <v>195.76400000000001</v>
      </c>
      <c r="I272" s="17">
        <v>15.476000000000001</v>
      </c>
      <c r="J272" s="17">
        <v>7.9059999999999997</v>
      </c>
    </row>
    <row r="273" spans="1:10" x14ac:dyDescent="0.25">
      <c r="B273" s="17"/>
      <c r="C273" s="17" t="s">
        <v>265</v>
      </c>
      <c r="D273" s="17"/>
      <c r="E273" s="17">
        <v>0.25700000000000001</v>
      </c>
      <c r="F273" s="17">
        <v>184.82</v>
      </c>
      <c r="G273" s="17"/>
      <c r="H273" s="17"/>
      <c r="I273" s="17"/>
      <c r="J273" s="17"/>
    </row>
    <row r="274" spans="1:10" x14ac:dyDescent="0.25">
      <c r="B274" s="17" t="s">
        <v>98</v>
      </c>
      <c r="C274" s="17" t="s">
        <v>88</v>
      </c>
      <c r="D274" s="17">
        <v>0</v>
      </c>
      <c r="E274" s="17">
        <v>5.3999999999999999E-2</v>
      </c>
      <c r="F274" s="17">
        <v>12.693</v>
      </c>
      <c r="G274" s="17">
        <v>2</v>
      </c>
      <c r="H274" s="17">
        <v>8.282</v>
      </c>
      <c r="I274" s="17">
        <v>6.2389999999999999</v>
      </c>
      <c r="J274" s="17">
        <v>75.33</v>
      </c>
    </row>
    <row r="275" spans="1:10" x14ac:dyDescent="0.25">
      <c r="B275" s="17"/>
      <c r="C275" s="17" t="s">
        <v>89</v>
      </c>
      <c r="D275" s="17">
        <v>0</v>
      </c>
      <c r="E275" s="17">
        <v>4.3999999999999997E-2</v>
      </c>
      <c r="F275" s="17">
        <v>3.87</v>
      </c>
      <c r="G275" s="17"/>
      <c r="H275" s="17"/>
      <c r="I275" s="17"/>
      <c r="J275" s="17"/>
    </row>
    <row r="276" spans="1:10" x14ac:dyDescent="0.25">
      <c r="B276" s="17" t="s">
        <v>43</v>
      </c>
      <c r="C276" s="17" t="s">
        <v>91</v>
      </c>
      <c r="D276" s="17">
        <v>12.5</v>
      </c>
      <c r="E276" s="17">
        <v>5.6000000000000001E-2</v>
      </c>
      <c r="F276" s="17">
        <v>14.644</v>
      </c>
      <c r="G276" s="17">
        <v>2</v>
      </c>
      <c r="H276" s="17">
        <v>14.686999999999999</v>
      </c>
      <c r="I276" s="17">
        <v>0.06</v>
      </c>
      <c r="J276" s="17">
        <v>0.40799999999999997</v>
      </c>
    </row>
    <row r="277" spans="1:10" x14ac:dyDescent="0.25">
      <c r="B277" s="17"/>
      <c r="C277" s="17" t="s">
        <v>90</v>
      </c>
      <c r="D277" s="17">
        <v>12.5</v>
      </c>
      <c r="E277" s="17">
        <v>5.6000000000000001E-2</v>
      </c>
      <c r="F277" s="17">
        <v>14.728999999999999</v>
      </c>
      <c r="G277" s="17"/>
      <c r="H277" s="17"/>
      <c r="I277" s="17"/>
      <c r="J277" s="17"/>
    </row>
    <row r="278" spans="1:10" x14ac:dyDescent="0.25">
      <c r="B278" s="17" t="s">
        <v>49</v>
      </c>
      <c r="C278" s="17" t="s">
        <v>92</v>
      </c>
      <c r="D278" s="17">
        <v>50</v>
      </c>
      <c r="E278" s="17">
        <v>8.7999999999999995E-2</v>
      </c>
      <c r="F278" s="17">
        <v>41.960999999999999</v>
      </c>
      <c r="G278" s="17">
        <v>2</v>
      </c>
      <c r="H278" s="17">
        <v>45.692999999999998</v>
      </c>
      <c r="I278" s="17">
        <v>5.2789999999999999</v>
      </c>
      <c r="J278" s="17">
        <v>11.553000000000001</v>
      </c>
    </row>
    <row r="279" spans="1:10" x14ac:dyDescent="0.25">
      <c r="B279" s="17"/>
      <c r="C279" s="17" t="s">
        <v>93</v>
      </c>
      <c r="D279" s="17">
        <v>50</v>
      </c>
      <c r="E279" s="17">
        <v>9.7000000000000003E-2</v>
      </c>
      <c r="F279" s="17">
        <v>49.426000000000002</v>
      </c>
      <c r="G279" s="17"/>
      <c r="H279" s="17"/>
      <c r="I279" s="17"/>
      <c r="J279" s="17"/>
    </row>
    <row r="280" spans="1:10" x14ac:dyDescent="0.25">
      <c r="B280" s="17" t="s">
        <v>102</v>
      </c>
      <c r="C280" s="17" t="s">
        <v>94</v>
      </c>
      <c r="D280" s="17">
        <v>100</v>
      </c>
      <c r="E280" s="17">
        <v>0.14000000000000001</v>
      </c>
      <c r="F280" s="17">
        <v>85.48</v>
      </c>
      <c r="G280" s="17">
        <v>2</v>
      </c>
      <c r="H280" s="17">
        <v>87.558999999999997</v>
      </c>
      <c r="I280" s="17">
        <v>2.9390000000000001</v>
      </c>
      <c r="J280" s="17">
        <v>3.3570000000000002</v>
      </c>
    </row>
    <row r="281" spans="1:10" x14ac:dyDescent="0.25">
      <c r="B281" s="17"/>
      <c r="C281" s="17" t="s">
        <v>95</v>
      </c>
      <c r="D281" s="17">
        <v>100</v>
      </c>
      <c r="E281" s="17">
        <v>0.14499999999999999</v>
      </c>
      <c r="F281" s="17">
        <v>89.637</v>
      </c>
      <c r="G281" s="17"/>
      <c r="H281" s="17"/>
      <c r="I281" s="17"/>
      <c r="J281" s="17"/>
    </row>
    <row r="282" spans="1:10" x14ac:dyDescent="0.25">
      <c r="B282" s="17" t="s">
        <v>55</v>
      </c>
      <c r="C282" s="17" t="s">
        <v>66</v>
      </c>
      <c r="D282" s="17">
        <v>150</v>
      </c>
      <c r="E282" s="17">
        <v>0.20599999999999999</v>
      </c>
      <c r="F282" s="17">
        <v>141.386</v>
      </c>
      <c r="G282" s="17">
        <v>2</v>
      </c>
      <c r="H282" s="17">
        <v>146.476</v>
      </c>
      <c r="I282" s="17">
        <v>7.1980000000000004</v>
      </c>
      <c r="J282" s="17">
        <v>4.9139999999999997</v>
      </c>
    </row>
    <row r="283" spans="1:10" x14ac:dyDescent="0.25">
      <c r="B283" s="17"/>
      <c r="C283" s="17" t="s">
        <v>67</v>
      </c>
      <c r="D283" s="17">
        <v>150</v>
      </c>
      <c r="E283" s="17">
        <v>0.218</v>
      </c>
      <c r="F283" s="17">
        <v>151.566</v>
      </c>
      <c r="G283" s="17"/>
      <c r="H283" s="17"/>
      <c r="I283" s="17"/>
      <c r="J283" s="17"/>
    </row>
    <row r="284" spans="1:10" x14ac:dyDescent="0.25">
      <c r="B284" s="17" t="s">
        <v>134</v>
      </c>
      <c r="C284" s="17" t="s">
        <v>68</v>
      </c>
      <c r="D284" s="17">
        <v>200</v>
      </c>
      <c r="E284" s="17">
        <v>0.32100000000000001</v>
      </c>
      <c r="F284" s="17" t="s">
        <v>155</v>
      </c>
      <c r="G284" s="17">
        <v>1</v>
      </c>
      <c r="H284" s="17">
        <v>180.155</v>
      </c>
      <c r="I284" s="17" t="s">
        <v>99</v>
      </c>
      <c r="J284" s="17" t="s">
        <v>99</v>
      </c>
    </row>
    <row r="285" spans="1:10" x14ac:dyDescent="0.25">
      <c r="B285" s="17"/>
      <c r="C285" s="17" t="s">
        <v>69</v>
      </c>
      <c r="D285" s="17">
        <v>200</v>
      </c>
      <c r="E285" s="17">
        <v>0.251</v>
      </c>
      <c r="F285" s="17">
        <v>180.155</v>
      </c>
      <c r="G285" s="17"/>
      <c r="H285" s="17"/>
      <c r="I285" s="17"/>
      <c r="J285" s="17"/>
    </row>
    <row r="287" spans="1:10" x14ac:dyDescent="0.25">
      <c r="A287" s="4" t="s">
        <v>266</v>
      </c>
      <c r="B287" s="5"/>
    </row>
    <row r="288" spans="1:10" x14ac:dyDescent="0.25">
      <c r="A288" s="1" t="s">
        <v>59</v>
      </c>
      <c r="B288" s="1">
        <v>26.8</v>
      </c>
    </row>
    <row r="290" spans="2:10" x14ac:dyDescent="0.25">
      <c r="B290" s="7" t="s">
        <v>39</v>
      </c>
      <c r="C290" s="7" t="s">
        <v>60</v>
      </c>
      <c r="D290" s="7" t="s">
        <v>40</v>
      </c>
      <c r="E290" s="7">
        <v>500</v>
      </c>
      <c r="F290" s="7" t="s">
        <v>266</v>
      </c>
      <c r="G290" s="7" t="s">
        <v>61</v>
      </c>
      <c r="H290" s="7" t="s">
        <v>4</v>
      </c>
      <c r="I290" s="7" t="s">
        <v>62</v>
      </c>
      <c r="J290" s="7" t="s">
        <v>63</v>
      </c>
    </row>
    <row r="291" spans="2:10" x14ac:dyDescent="0.25">
      <c r="B291" s="17" t="s">
        <v>36</v>
      </c>
      <c r="C291" s="17" t="s">
        <v>64</v>
      </c>
      <c r="D291" s="17"/>
      <c r="E291" s="17">
        <v>4.2999999999999997E-2</v>
      </c>
      <c r="F291" s="17">
        <v>0</v>
      </c>
      <c r="G291" s="17">
        <v>2</v>
      </c>
      <c r="H291" s="17">
        <v>0</v>
      </c>
      <c r="I291" s="17">
        <v>1E-3</v>
      </c>
      <c r="J291" s="17" t="s">
        <v>99</v>
      </c>
    </row>
    <row r="292" spans="2:10" x14ac:dyDescent="0.25">
      <c r="B292" s="17"/>
      <c r="C292" s="17" t="s">
        <v>65</v>
      </c>
      <c r="D292" s="17"/>
      <c r="E292" s="17">
        <v>4.2999999999999997E-2</v>
      </c>
      <c r="F292" s="17">
        <v>0</v>
      </c>
      <c r="G292" s="17"/>
      <c r="H292" s="17"/>
      <c r="I292" s="17"/>
      <c r="J292" s="17"/>
    </row>
    <row r="293" spans="2:10" x14ac:dyDescent="0.25">
      <c r="B293" s="17" t="s">
        <v>44</v>
      </c>
      <c r="C293" s="17" t="s">
        <v>70</v>
      </c>
      <c r="D293" s="17"/>
      <c r="E293" s="17">
        <v>0.14899999999999999</v>
      </c>
      <c r="F293" s="17">
        <v>0.106</v>
      </c>
      <c r="G293" s="17">
        <v>2</v>
      </c>
      <c r="H293" s="17">
        <v>0.11600000000000001</v>
      </c>
      <c r="I293" s="17">
        <v>1.2999999999999999E-2</v>
      </c>
      <c r="J293" s="17">
        <v>11.25</v>
      </c>
    </row>
    <row r="294" spans="2:10" x14ac:dyDescent="0.25">
      <c r="B294" s="17"/>
      <c r="C294" s="17" t="s">
        <v>71</v>
      </c>
      <c r="D294" s="17"/>
      <c r="E294" s="17">
        <v>0.16800000000000001</v>
      </c>
      <c r="F294" s="17">
        <v>0.125</v>
      </c>
      <c r="G294" s="17"/>
      <c r="H294" s="17"/>
      <c r="I294" s="17"/>
      <c r="J294" s="17"/>
    </row>
    <row r="295" spans="2:10" x14ac:dyDescent="0.25">
      <c r="B295" s="17" t="s">
        <v>50</v>
      </c>
      <c r="C295" s="17" t="s">
        <v>72</v>
      </c>
      <c r="D295" s="17"/>
      <c r="E295" s="17">
        <v>0.113</v>
      </c>
      <c r="F295" s="17">
        <v>7.0000000000000007E-2</v>
      </c>
      <c r="G295" s="17">
        <v>2</v>
      </c>
      <c r="H295" s="17">
        <v>7.2999999999999995E-2</v>
      </c>
      <c r="I295" s="17">
        <v>4.0000000000000001E-3</v>
      </c>
      <c r="J295" s="17">
        <v>6.1280000000000001</v>
      </c>
    </row>
    <row r="296" spans="2:10" x14ac:dyDescent="0.25">
      <c r="B296" s="17"/>
      <c r="C296" s="17" t="s">
        <v>73</v>
      </c>
      <c r="D296" s="17"/>
      <c r="E296" s="17">
        <v>0.11899999999999999</v>
      </c>
      <c r="F296" s="17">
        <v>7.5999999999999998E-2</v>
      </c>
      <c r="G296" s="17"/>
      <c r="H296" s="17"/>
      <c r="I296" s="17"/>
      <c r="J296" s="17"/>
    </row>
    <row r="297" spans="2:10" x14ac:dyDescent="0.25">
      <c r="B297" s="17" t="s">
        <v>56</v>
      </c>
      <c r="C297" s="17" t="s">
        <v>74</v>
      </c>
      <c r="D297" s="17"/>
      <c r="E297" s="17">
        <v>0.108</v>
      </c>
      <c r="F297" s="17">
        <v>6.5000000000000002E-2</v>
      </c>
      <c r="G297" s="17">
        <v>2</v>
      </c>
      <c r="H297" s="17">
        <v>6.6000000000000003E-2</v>
      </c>
      <c r="I297" s="17">
        <v>1E-3</v>
      </c>
      <c r="J297" s="17">
        <v>2.2360000000000002</v>
      </c>
    </row>
    <row r="298" spans="2:10" x14ac:dyDescent="0.25">
      <c r="B298" s="17"/>
      <c r="C298" s="17" t="s">
        <v>75</v>
      </c>
      <c r="D298" s="17"/>
      <c r="E298" s="17">
        <v>0.111</v>
      </c>
      <c r="F298" s="17">
        <v>6.7000000000000004E-2</v>
      </c>
      <c r="G298" s="17"/>
      <c r="H298" s="17"/>
      <c r="I298" s="17"/>
      <c r="J298" s="17"/>
    </row>
    <row r="299" spans="2:10" x14ac:dyDescent="0.25">
      <c r="B299" s="17" t="s">
        <v>37</v>
      </c>
      <c r="C299" s="17" t="s">
        <v>76</v>
      </c>
      <c r="D299" s="17"/>
      <c r="E299" s="17">
        <v>4.2999999999999997E-2</v>
      </c>
      <c r="F299" s="17">
        <v>0</v>
      </c>
      <c r="G299" s="17">
        <v>2</v>
      </c>
      <c r="H299" s="17">
        <v>0</v>
      </c>
      <c r="I299" s="17">
        <v>0</v>
      </c>
      <c r="J299" s="17">
        <v>6114289605624770</v>
      </c>
    </row>
    <row r="300" spans="2:10" x14ac:dyDescent="0.25">
      <c r="B300" s="17"/>
      <c r="C300" s="17" t="s">
        <v>77</v>
      </c>
      <c r="D300" s="17"/>
      <c r="E300" s="17">
        <v>4.2999999999999997E-2</v>
      </c>
      <c r="F300" s="17">
        <v>0</v>
      </c>
      <c r="G300" s="17"/>
      <c r="H300" s="17"/>
      <c r="I300" s="17"/>
      <c r="J300" s="17"/>
    </row>
    <row r="301" spans="2:10" x14ac:dyDescent="0.25">
      <c r="B301" s="17" t="s">
        <v>45</v>
      </c>
      <c r="C301" s="17" t="s">
        <v>78</v>
      </c>
      <c r="D301" s="17"/>
      <c r="E301" s="17">
        <v>0.114</v>
      </c>
      <c r="F301" s="17">
        <v>7.0999999999999994E-2</v>
      </c>
      <c r="G301" s="17">
        <v>2</v>
      </c>
      <c r="H301" s="17">
        <v>7.9000000000000001E-2</v>
      </c>
      <c r="I301" s="17">
        <v>1.0999999999999999E-2</v>
      </c>
      <c r="J301" s="17">
        <v>13.728999999999999</v>
      </c>
    </row>
    <row r="302" spans="2:10" x14ac:dyDescent="0.25">
      <c r="B302" s="17"/>
      <c r="C302" s="17" t="s">
        <v>79</v>
      </c>
      <c r="D302" s="17"/>
      <c r="E302" s="17">
        <v>0.13</v>
      </c>
      <c r="F302" s="17">
        <v>8.5999999999999993E-2</v>
      </c>
      <c r="G302" s="17"/>
      <c r="H302" s="17"/>
      <c r="I302" s="17"/>
      <c r="J302" s="17"/>
    </row>
    <row r="303" spans="2:10" x14ac:dyDescent="0.25">
      <c r="B303" s="17" t="s">
        <v>51</v>
      </c>
      <c r="C303" s="17" t="s">
        <v>80</v>
      </c>
      <c r="D303" s="17"/>
      <c r="E303" s="17">
        <v>5.2999999999999999E-2</v>
      </c>
      <c r="F303" s="17">
        <v>0.01</v>
      </c>
      <c r="G303" s="17">
        <v>2</v>
      </c>
      <c r="H303" s="17">
        <v>1.2999999999999999E-2</v>
      </c>
      <c r="I303" s="17">
        <v>4.0000000000000001E-3</v>
      </c>
      <c r="J303" s="17">
        <v>30.623000000000001</v>
      </c>
    </row>
    <row r="304" spans="2:10" x14ac:dyDescent="0.25">
      <c r="B304" s="17"/>
      <c r="C304" s="17" t="s">
        <v>81</v>
      </c>
      <c r="D304" s="17"/>
      <c r="E304" s="17">
        <v>5.8999999999999997E-2</v>
      </c>
      <c r="F304" s="17">
        <v>1.4999999999999999E-2</v>
      </c>
      <c r="G304" s="17"/>
      <c r="H304" s="17"/>
      <c r="I304" s="17"/>
      <c r="J304" s="17"/>
    </row>
    <row r="305" spans="2:10" x14ac:dyDescent="0.25">
      <c r="B305" s="17" t="s">
        <v>57</v>
      </c>
      <c r="C305" s="17" t="s">
        <v>82</v>
      </c>
      <c r="D305" s="17"/>
      <c r="E305" s="17">
        <v>0.215</v>
      </c>
      <c r="F305" s="17">
        <v>0.17199999999999999</v>
      </c>
      <c r="G305" s="17">
        <v>2</v>
      </c>
      <c r="H305" s="17">
        <v>0.129</v>
      </c>
      <c r="I305" s="17">
        <v>6.0999999999999999E-2</v>
      </c>
      <c r="J305" s="17">
        <v>47.122</v>
      </c>
    </row>
    <row r="306" spans="2:10" x14ac:dyDescent="0.25">
      <c r="B306" s="17"/>
      <c r="C306" s="17" t="s">
        <v>83</v>
      </c>
      <c r="D306" s="17"/>
      <c r="E306" s="17">
        <v>0.129</v>
      </c>
      <c r="F306" s="17">
        <v>8.5999999999999993E-2</v>
      </c>
      <c r="G306" s="17"/>
      <c r="H306" s="17"/>
      <c r="I306" s="17"/>
      <c r="J306" s="17"/>
    </row>
    <row r="307" spans="2:10" x14ac:dyDescent="0.25">
      <c r="B307" s="17" t="s">
        <v>38</v>
      </c>
      <c r="C307" s="17" t="s">
        <v>84</v>
      </c>
      <c r="D307" s="17"/>
      <c r="E307" s="17">
        <v>0.16200000000000001</v>
      </c>
      <c r="F307" s="17">
        <v>0.11899999999999999</v>
      </c>
      <c r="G307" s="17">
        <v>2</v>
      </c>
      <c r="H307" s="17">
        <v>0.13200000000000001</v>
      </c>
      <c r="I307" s="17">
        <v>1.7999999999999999E-2</v>
      </c>
      <c r="J307" s="17">
        <v>13.632</v>
      </c>
    </row>
    <row r="308" spans="2:10" x14ac:dyDescent="0.25">
      <c r="B308" s="17"/>
      <c r="C308" s="17" t="s">
        <v>85</v>
      </c>
      <c r="D308" s="17"/>
      <c r="E308" s="17">
        <v>0.188</v>
      </c>
      <c r="F308" s="17">
        <v>0.14399999999999999</v>
      </c>
      <c r="G308" s="17"/>
      <c r="H308" s="17"/>
      <c r="I308" s="17"/>
      <c r="J308" s="17"/>
    </row>
    <row r="309" spans="2:10" x14ac:dyDescent="0.25">
      <c r="B309" s="17" t="s">
        <v>46</v>
      </c>
      <c r="C309" s="17" t="s">
        <v>86</v>
      </c>
      <c r="D309" s="17"/>
      <c r="E309" s="17">
        <v>0.152</v>
      </c>
      <c r="F309" s="17">
        <v>0.108</v>
      </c>
      <c r="G309" s="17">
        <v>2</v>
      </c>
      <c r="H309" s="17">
        <v>0.11600000000000001</v>
      </c>
      <c r="I309" s="17">
        <v>0.01</v>
      </c>
      <c r="J309" s="17">
        <v>8.69</v>
      </c>
    </row>
    <row r="310" spans="2:10" x14ac:dyDescent="0.25">
      <c r="B310" s="17"/>
      <c r="C310" s="17" t="s">
        <v>87</v>
      </c>
      <c r="D310" s="17"/>
      <c r="E310" s="17">
        <v>0.16600000000000001</v>
      </c>
      <c r="F310" s="17">
        <v>0.123</v>
      </c>
      <c r="G310" s="17"/>
      <c r="H310" s="17"/>
      <c r="I310" s="17"/>
      <c r="J310" s="17"/>
    </row>
    <row r="311" spans="2:10" x14ac:dyDescent="0.25">
      <c r="B311" s="17" t="s">
        <v>52</v>
      </c>
      <c r="C311" s="17" t="s">
        <v>139</v>
      </c>
      <c r="D311" s="17"/>
      <c r="E311" s="17">
        <v>0.108</v>
      </c>
      <c r="F311" s="17">
        <v>6.5000000000000002E-2</v>
      </c>
      <c r="G311" s="17">
        <v>2</v>
      </c>
      <c r="H311" s="17">
        <v>6.9000000000000006E-2</v>
      </c>
      <c r="I311" s="17">
        <v>6.0000000000000001E-3</v>
      </c>
      <c r="J311" s="17">
        <v>8.9030000000000005</v>
      </c>
    </row>
    <row r="312" spans="2:10" x14ac:dyDescent="0.25">
      <c r="B312" s="17"/>
      <c r="C312" s="17" t="s">
        <v>140</v>
      </c>
      <c r="D312" s="17"/>
      <c r="E312" s="17">
        <v>0.11700000000000001</v>
      </c>
      <c r="F312" s="17">
        <v>7.2999999999999995E-2</v>
      </c>
      <c r="G312" s="17"/>
      <c r="H312" s="17"/>
      <c r="I312" s="17"/>
      <c r="J312" s="17"/>
    </row>
    <row r="313" spans="2:10" x14ac:dyDescent="0.25">
      <c r="B313" s="17" t="s">
        <v>132</v>
      </c>
      <c r="C313" s="17" t="s">
        <v>141</v>
      </c>
      <c r="D313" s="17"/>
      <c r="E313" s="17">
        <v>6.7000000000000004E-2</v>
      </c>
      <c r="F313" s="17">
        <v>2.4E-2</v>
      </c>
      <c r="G313" s="17">
        <v>2</v>
      </c>
      <c r="H313" s="17">
        <v>2.3E-2</v>
      </c>
      <c r="I313" s="17">
        <v>2E-3</v>
      </c>
      <c r="J313" s="17">
        <v>8.7409999999999997</v>
      </c>
    </row>
    <row r="314" spans="2:10" x14ac:dyDescent="0.25">
      <c r="B314" s="17"/>
      <c r="C314" s="17" t="s">
        <v>142</v>
      </c>
      <c r="D314" s="17"/>
      <c r="E314" s="17">
        <v>6.4000000000000001E-2</v>
      </c>
      <c r="F314" s="17">
        <v>2.1000000000000001E-2</v>
      </c>
      <c r="G314" s="17"/>
      <c r="H314" s="17"/>
      <c r="I314" s="17"/>
      <c r="J314" s="17"/>
    </row>
    <row r="315" spans="2:10" x14ac:dyDescent="0.25">
      <c r="B315" s="17" t="s">
        <v>135</v>
      </c>
      <c r="C315" s="17" t="s">
        <v>143</v>
      </c>
      <c r="D315" s="17"/>
      <c r="E315" s="17">
        <v>0.14499999999999999</v>
      </c>
      <c r="F315" s="17">
        <v>0.10199999999999999</v>
      </c>
      <c r="G315" s="17">
        <v>2</v>
      </c>
      <c r="H315" s="17">
        <v>9.6000000000000002E-2</v>
      </c>
      <c r="I315" s="17">
        <v>8.9999999999999993E-3</v>
      </c>
      <c r="J315" s="17">
        <v>9.5419999999999998</v>
      </c>
    </row>
    <row r="316" spans="2:10" x14ac:dyDescent="0.25">
      <c r="B316" s="17"/>
      <c r="C316" s="17" t="s">
        <v>144</v>
      </c>
      <c r="D316" s="17"/>
      <c r="E316" s="17">
        <v>0.13200000000000001</v>
      </c>
      <c r="F316" s="17">
        <v>8.8999999999999996E-2</v>
      </c>
      <c r="G316" s="17"/>
      <c r="H316" s="17"/>
      <c r="I316" s="17"/>
      <c r="J316" s="17"/>
    </row>
    <row r="317" spans="2:10" x14ac:dyDescent="0.25">
      <c r="B317" s="17" t="s">
        <v>137</v>
      </c>
      <c r="C317" s="17" t="s">
        <v>145</v>
      </c>
      <c r="D317" s="17"/>
      <c r="E317" s="17">
        <v>4.7E-2</v>
      </c>
      <c r="F317" s="17">
        <v>3.0000000000000001E-3</v>
      </c>
      <c r="G317" s="17">
        <v>2</v>
      </c>
      <c r="H317" s="17">
        <v>3.0000000000000001E-3</v>
      </c>
      <c r="I317" s="17">
        <v>0</v>
      </c>
      <c r="J317" s="17">
        <v>4.2220000000000004</v>
      </c>
    </row>
    <row r="318" spans="2:10" x14ac:dyDescent="0.25">
      <c r="B318" s="17"/>
      <c r="C318" s="17" t="s">
        <v>146</v>
      </c>
      <c r="D318" s="17"/>
      <c r="E318" s="17">
        <v>4.5999999999999999E-2</v>
      </c>
      <c r="F318" s="17">
        <v>3.0000000000000001E-3</v>
      </c>
      <c r="G318" s="17"/>
      <c r="H318" s="17"/>
      <c r="I318" s="17"/>
      <c r="J318" s="17"/>
    </row>
    <row r="319" spans="2:10" x14ac:dyDescent="0.25">
      <c r="B319" s="17" t="s">
        <v>131</v>
      </c>
      <c r="C319" s="17" t="s">
        <v>147</v>
      </c>
      <c r="D319" s="17"/>
      <c r="E319" s="17">
        <v>5.8000000000000003E-2</v>
      </c>
      <c r="F319" s="17">
        <v>1.4999999999999999E-2</v>
      </c>
      <c r="G319" s="17">
        <v>2</v>
      </c>
      <c r="H319" s="17">
        <v>1.6E-2</v>
      </c>
      <c r="I319" s="17">
        <v>1E-3</v>
      </c>
      <c r="J319" s="17">
        <v>7.2290000000000001</v>
      </c>
    </row>
    <row r="320" spans="2:10" x14ac:dyDescent="0.25">
      <c r="B320" s="17"/>
      <c r="C320" s="17" t="s">
        <v>148</v>
      </c>
      <c r="D320" s="17"/>
      <c r="E320" s="17">
        <v>5.8999999999999997E-2</v>
      </c>
      <c r="F320" s="17">
        <v>1.6E-2</v>
      </c>
      <c r="G320" s="17"/>
      <c r="H320" s="17"/>
      <c r="I320" s="17"/>
      <c r="J320" s="17"/>
    </row>
    <row r="321" spans="2:10" x14ac:dyDescent="0.25">
      <c r="B321" s="17" t="s">
        <v>133</v>
      </c>
      <c r="C321" s="17" t="s">
        <v>149</v>
      </c>
      <c r="D321" s="17"/>
      <c r="E321" s="17">
        <v>0.123</v>
      </c>
      <c r="F321" s="17">
        <v>0.08</v>
      </c>
      <c r="G321" s="17">
        <v>2</v>
      </c>
      <c r="H321" s="17">
        <v>7.6999999999999999E-2</v>
      </c>
      <c r="I321" s="17">
        <v>4.0000000000000001E-3</v>
      </c>
      <c r="J321" s="17">
        <v>5.133</v>
      </c>
    </row>
    <row r="322" spans="2:10" x14ac:dyDescent="0.25">
      <c r="B322" s="17"/>
      <c r="C322" s="17" t="s">
        <v>150</v>
      </c>
      <c r="D322" s="17"/>
      <c r="E322" s="17">
        <v>0.11700000000000001</v>
      </c>
      <c r="F322" s="17">
        <v>7.3999999999999996E-2</v>
      </c>
      <c r="G322" s="17"/>
      <c r="H322" s="17"/>
      <c r="I322" s="17"/>
      <c r="J322" s="17"/>
    </row>
    <row r="323" spans="2:10" x14ac:dyDescent="0.25">
      <c r="B323" s="17" t="s">
        <v>136</v>
      </c>
      <c r="C323" s="17" t="s">
        <v>151</v>
      </c>
      <c r="D323" s="17"/>
      <c r="E323" s="17">
        <v>4.2999999999999997E-2</v>
      </c>
      <c r="F323" s="17">
        <v>0</v>
      </c>
      <c r="G323" s="17">
        <v>2</v>
      </c>
      <c r="H323" s="17">
        <v>0</v>
      </c>
      <c r="I323" s="17">
        <v>0</v>
      </c>
      <c r="J323" s="17">
        <v>494.97500000000002</v>
      </c>
    </row>
    <row r="324" spans="2:10" x14ac:dyDescent="0.25">
      <c r="B324" s="17"/>
      <c r="C324" s="17" t="s">
        <v>152</v>
      </c>
      <c r="D324" s="17"/>
      <c r="E324" s="17">
        <v>4.2999999999999997E-2</v>
      </c>
      <c r="F324" s="17">
        <v>0</v>
      </c>
      <c r="G324" s="17"/>
      <c r="H324" s="17"/>
      <c r="I324" s="17"/>
      <c r="J324" s="17"/>
    </row>
    <row r="325" spans="2:10" x14ac:dyDescent="0.25">
      <c r="B325" s="17" t="s">
        <v>138</v>
      </c>
      <c r="C325" s="17" t="s">
        <v>153</v>
      </c>
      <c r="D325" s="17"/>
      <c r="E325" s="17">
        <v>0.106</v>
      </c>
      <c r="F325" s="17">
        <v>6.3E-2</v>
      </c>
      <c r="G325" s="17">
        <v>2</v>
      </c>
      <c r="H325" s="17">
        <v>6.0999999999999999E-2</v>
      </c>
      <c r="I325" s="17">
        <v>3.0000000000000001E-3</v>
      </c>
      <c r="J325" s="17">
        <v>4.976</v>
      </c>
    </row>
    <row r="326" spans="2:10" x14ac:dyDescent="0.25">
      <c r="B326" s="17"/>
      <c r="C326" s="17" t="s">
        <v>154</v>
      </c>
      <c r="D326" s="17"/>
      <c r="E326" s="17">
        <v>0.10199999999999999</v>
      </c>
      <c r="F326" s="17">
        <v>5.8999999999999997E-2</v>
      </c>
      <c r="G326" s="17"/>
      <c r="H326" s="17"/>
      <c r="I326" s="17"/>
      <c r="J326" s="17"/>
    </row>
    <row r="327" spans="2:10" x14ac:dyDescent="0.25">
      <c r="B327" s="17" t="s">
        <v>194</v>
      </c>
      <c r="C327" s="17" t="s">
        <v>218</v>
      </c>
      <c r="D327" s="17"/>
      <c r="E327" s="17">
        <v>0.188</v>
      </c>
      <c r="F327" s="17">
        <v>0.14499999999999999</v>
      </c>
      <c r="G327" s="17">
        <v>2</v>
      </c>
      <c r="H327" s="17">
        <v>0.16200000000000001</v>
      </c>
      <c r="I327" s="17">
        <v>2.3E-2</v>
      </c>
      <c r="J327" s="17">
        <v>14.483000000000001</v>
      </c>
    </row>
    <row r="328" spans="2:10" x14ac:dyDescent="0.25">
      <c r="B328" s="17"/>
      <c r="C328" s="17" t="s">
        <v>219</v>
      </c>
      <c r="D328" s="17"/>
      <c r="E328" s="17">
        <v>0.221</v>
      </c>
      <c r="F328" s="17">
        <v>0.17799999999999999</v>
      </c>
      <c r="G328" s="17"/>
      <c r="H328" s="17"/>
      <c r="I328" s="17"/>
      <c r="J328" s="17"/>
    </row>
    <row r="329" spans="2:10" x14ac:dyDescent="0.25">
      <c r="B329" s="17" t="s">
        <v>200</v>
      </c>
      <c r="C329" s="17" t="s">
        <v>220</v>
      </c>
      <c r="D329" s="17"/>
      <c r="E329" s="17">
        <v>0.1</v>
      </c>
      <c r="F329" s="17">
        <v>5.7000000000000002E-2</v>
      </c>
      <c r="G329" s="17">
        <v>2</v>
      </c>
      <c r="H329" s="17">
        <v>4.8000000000000001E-2</v>
      </c>
      <c r="I329" s="17">
        <v>1.2999999999999999E-2</v>
      </c>
      <c r="J329" s="17">
        <v>26.766999999999999</v>
      </c>
    </row>
    <row r="330" spans="2:10" x14ac:dyDescent="0.25">
      <c r="B330" s="17"/>
      <c r="C330" s="17" t="s">
        <v>221</v>
      </c>
      <c r="D330" s="17"/>
      <c r="E330" s="17">
        <v>8.2000000000000003E-2</v>
      </c>
      <c r="F330" s="17">
        <v>3.9E-2</v>
      </c>
      <c r="G330" s="17"/>
      <c r="H330" s="17"/>
      <c r="I330" s="17"/>
      <c r="J330" s="17"/>
    </row>
    <row r="331" spans="2:10" x14ac:dyDescent="0.25">
      <c r="B331" s="17" t="s">
        <v>206</v>
      </c>
      <c r="C331" s="17" t="s">
        <v>222</v>
      </c>
      <c r="D331" s="17"/>
      <c r="E331" s="17">
        <v>9.6000000000000002E-2</v>
      </c>
      <c r="F331" s="17">
        <v>5.2999999999999999E-2</v>
      </c>
      <c r="G331" s="17">
        <v>2</v>
      </c>
      <c r="H331" s="17">
        <v>5.5E-2</v>
      </c>
      <c r="I331" s="17">
        <v>3.0000000000000001E-3</v>
      </c>
      <c r="J331" s="17">
        <v>5.7539999999999996</v>
      </c>
    </row>
    <row r="332" spans="2:10" x14ac:dyDescent="0.25">
      <c r="B332" s="17"/>
      <c r="C332" s="17" t="s">
        <v>223</v>
      </c>
      <c r="D332" s="17"/>
      <c r="E332" s="17">
        <v>0.10100000000000001</v>
      </c>
      <c r="F332" s="17">
        <v>5.8000000000000003E-2</v>
      </c>
      <c r="G332" s="17"/>
      <c r="H332" s="17"/>
      <c r="I332" s="17"/>
      <c r="J332" s="17"/>
    </row>
    <row r="333" spans="2:10" x14ac:dyDescent="0.25">
      <c r="B333" s="17" t="s">
        <v>212</v>
      </c>
      <c r="C333" s="17" t="s">
        <v>224</v>
      </c>
      <c r="D333" s="17"/>
      <c r="E333" s="17">
        <v>0.16400000000000001</v>
      </c>
      <c r="F333" s="17">
        <v>0.12</v>
      </c>
      <c r="G333" s="17">
        <v>2</v>
      </c>
      <c r="H333" s="17">
        <v>0.114</v>
      </c>
      <c r="I333" s="17">
        <v>0.01</v>
      </c>
      <c r="J333" s="17">
        <v>8.5280000000000005</v>
      </c>
    </row>
    <row r="334" spans="2:10" x14ac:dyDescent="0.25">
      <c r="B334" s="17"/>
      <c r="C334" s="17" t="s">
        <v>225</v>
      </c>
      <c r="D334" s="17"/>
      <c r="E334" s="17">
        <v>0.15</v>
      </c>
      <c r="F334" s="17">
        <v>0.107</v>
      </c>
      <c r="G334" s="17"/>
      <c r="H334" s="17"/>
      <c r="I334" s="17"/>
      <c r="J334" s="17"/>
    </row>
    <row r="335" spans="2:10" x14ac:dyDescent="0.25">
      <c r="B335" s="17" t="s">
        <v>195</v>
      </c>
      <c r="C335" s="17" t="s">
        <v>226</v>
      </c>
      <c r="D335" s="17"/>
      <c r="E335" s="17">
        <v>8.1000000000000003E-2</v>
      </c>
      <c r="F335" s="17">
        <v>3.7999999999999999E-2</v>
      </c>
      <c r="G335" s="17">
        <v>2</v>
      </c>
      <c r="H335" s="17">
        <v>4.1000000000000002E-2</v>
      </c>
      <c r="I335" s="17">
        <v>4.0000000000000001E-3</v>
      </c>
      <c r="J335" s="17">
        <v>10.602</v>
      </c>
    </row>
    <row r="336" spans="2:10" x14ac:dyDescent="0.25">
      <c r="B336" s="17"/>
      <c r="C336" s="17" t="s">
        <v>227</v>
      </c>
      <c r="D336" s="17"/>
      <c r="E336" s="17">
        <v>8.6999999999999994E-2</v>
      </c>
      <c r="F336" s="17">
        <v>4.3999999999999997E-2</v>
      </c>
      <c r="G336" s="17"/>
      <c r="H336" s="17"/>
      <c r="I336" s="17"/>
      <c r="J336" s="17"/>
    </row>
    <row r="337" spans="2:10" x14ac:dyDescent="0.25">
      <c r="B337" s="17" t="s">
        <v>201</v>
      </c>
      <c r="C337" s="17" t="s">
        <v>228</v>
      </c>
      <c r="D337" s="17"/>
      <c r="E337" s="17">
        <v>0.23400000000000001</v>
      </c>
      <c r="F337" s="17">
        <v>0.191</v>
      </c>
      <c r="G337" s="17">
        <v>2</v>
      </c>
      <c r="H337" s="17">
        <v>0.193</v>
      </c>
      <c r="I337" s="17">
        <v>3.0000000000000001E-3</v>
      </c>
      <c r="J337" s="17">
        <v>1.6830000000000001</v>
      </c>
    </row>
    <row r="338" spans="2:10" x14ac:dyDescent="0.25">
      <c r="B338" s="17"/>
      <c r="C338" s="17" t="s">
        <v>229</v>
      </c>
      <c r="D338" s="17"/>
      <c r="E338" s="17">
        <v>0.23899999999999999</v>
      </c>
      <c r="F338" s="17">
        <v>0.19600000000000001</v>
      </c>
      <c r="G338" s="17"/>
      <c r="H338" s="17"/>
      <c r="I338" s="17"/>
      <c r="J338" s="17"/>
    </row>
    <row r="339" spans="2:10" x14ac:dyDescent="0.25">
      <c r="B339" s="17" t="s">
        <v>207</v>
      </c>
      <c r="C339" s="17" t="s">
        <v>230</v>
      </c>
      <c r="D339" s="17"/>
      <c r="E339" s="17">
        <v>0.10299999999999999</v>
      </c>
      <c r="F339" s="17">
        <v>0.06</v>
      </c>
      <c r="G339" s="17">
        <v>2</v>
      </c>
      <c r="H339" s="17">
        <v>6.8000000000000005E-2</v>
      </c>
      <c r="I339" s="17">
        <v>1.2E-2</v>
      </c>
      <c r="J339" s="17">
        <v>17.756</v>
      </c>
    </row>
    <row r="340" spans="2:10" x14ac:dyDescent="0.25">
      <c r="B340" s="17"/>
      <c r="C340" s="17" t="s">
        <v>231</v>
      </c>
      <c r="D340" s="17"/>
      <c r="E340" s="17">
        <v>0.12</v>
      </c>
      <c r="F340" s="17">
        <v>7.6999999999999999E-2</v>
      </c>
      <c r="G340" s="17"/>
      <c r="H340" s="17"/>
      <c r="I340" s="17"/>
      <c r="J340" s="17"/>
    </row>
    <row r="341" spans="2:10" x14ac:dyDescent="0.25">
      <c r="B341" s="17" t="s">
        <v>213</v>
      </c>
      <c r="C341" s="17" t="s">
        <v>232</v>
      </c>
      <c r="D341" s="17"/>
      <c r="E341" s="17">
        <v>4.2999999999999997E-2</v>
      </c>
      <c r="F341" s="17">
        <v>0</v>
      </c>
      <c r="G341" s="17">
        <v>2</v>
      </c>
      <c r="H341" s="17">
        <v>1E-3</v>
      </c>
      <c r="I341" s="17">
        <v>1E-3</v>
      </c>
      <c r="J341" s="17">
        <v>123.744</v>
      </c>
    </row>
    <row r="342" spans="2:10" x14ac:dyDescent="0.25">
      <c r="B342" s="17"/>
      <c r="C342" s="17" t="s">
        <v>233</v>
      </c>
      <c r="D342" s="17"/>
      <c r="E342" s="17">
        <v>4.4999999999999998E-2</v>
      </c>
      <c r="F342" s="17">
        <v>2E-3</v>
      </c>
      <c r="G342" s="17"/>
      <c r="H342" s="17"/>
      <c r="I342" s="17"/>
      <c r="J342" s="17"/>
    </row>
    <row r="343" spans="2:10" x14ac:dyDescent="0.25">
      <c r="B343" s="17" t="s">
        <v>196</v>
      </c>
      <c r="C343" s="17" t="s">
        <v>234</v>
      </c>
      <c r="D343" s="17"/>
      <c r="E343" s="17">
        <v>7.2999999999999995E-2</v>
      </c>
      <c r="F343" s="17">
        <v>0.03</v>
      </c>
      <c r="G343" s="17">
        <v>2</v>
      </c>
      <c r="H343" s="17">
        <v>3.3000000000000002E-2</v>
      </c>
      <c r="I343" s="17">
        <v>4.0000000000000001E-3</v>
      </c>
      <c r="J343" s="17">
        <v>13.346</v>
      </c>
    </row>
    <row r="344" spans="2:10" x14ac:dyDescent="0.25">
      <c r="B344" s="17"/>
      <c r="C344" s="17" t="s">
        <v>235</v>
      </c>
      <c r="D344" s="17"/>
      <c r="E344" s="17">
        <v>7.9000000000000001E-2</v>
      </c>
      <c r="F344" s="17">
        <v>3.5999999999999997E-2</v>
      </c>
      <c r="G344" s="17"/>
      <c r="H344" s="17"/>
      <c r="I344" s="17"/>
      <c r="J344" s="17"/>
    </row>
    <row r="345" spans="2:10" x14ac:dyDescent="0.25">
      <c r="B345" s="17" t="s">
        <v>202</v>
      </c>
      <c r="C345" s="17" t="s">
        <v>236</v>
      </c>
      <c r="D345" s="17"/>
      <c r="E345" s="17">
        <v>5.5E-2</v>
      </c>
      <c r="F345" s="17">
        <v>1.2E-2</v>
      </c>
      <c r="G345" s="17">
        <v>2</v>
      </c>
      <c r="H345" s="17">
        <v>1.4E-2</v>
      </c>
      <c r="I345" s="17">
        <v>2E-3</v>
      </c>
      <c r="J345" s="17">
        <v>17.805</v>
      </c>
    </row>
    <row r="346" spans="2:10" x14ac:dyDescent="0.25">
      <c r="B346" s="17"/>
      <c r="C346" s="17" t="s">
        <v>237</v>
      </c>
      <c r="D346" s="17"/>
      <c r="E346" s="17">
        <v>5.8999999999999997E-2</v>
      </c>
      <c r="F346" s="17">
        <v>1.6E-2</v>
      </c>
      <c r="G346" s="17"/>
      <c r="H346" s="17"/>
      <c r="I346" s="17"/>
      <c r="J346" s="17"/>
    </row>
    <row r="347" spans="2:10" x14ac:dyDescent="0.25">
      <c r="B347" s="17" t="s">
        <v>208</v>
      </c>
      <c r="C347" s="17" t="s">
        <v>238</v>
      </c>
      <c r="D347" s="17"/>
      <c r="E347" s="17">
        <v>4.2999999999999997E-2</v>
      </c>
      <c r="F347" s="17">
        <v>0</v>
      </c>
      <c r="G347" s="17">
        <v>2</v>
      </c>
      <c r="H347" s="17">
        <v>3.5999999999999997E-2</v>
      </c>
      <c r="I347" s="17">
        <v>5.0999999999999997E-2</v>
      </c>
      <c r="J347" s="17">
        <v>141.61699999999999</v>
      </c>
    </row>
    <row r="348" spans="2:10" x14ac:dyDescent="0.25">
      <c r="B348" s="17"/>
      <c r="C348" s="17" t="s">
        <v>239</v>
      </c>
      <c r="D348" s="17"/>
      <c r="E348" s="17">
        <v>0.11600000000000001</v>
      </c>
      <c r="F348" s="17">
        <v>7.1999999999999995E-2</v>
      </c>
      <c r="G348" s="17"/>
      <c r="H348" s="17"/>
      <c r="I348" s="17"/>
      <c r="J348" s="17"/>
    </row>
    <row r="349" spans="2:10" x14ac:dyDescent="0.25">
      <c r="B349" s="17" t="s">
        <v>214</v>
      </c>
      <c r="C349" s="17" t="s">
        <v>240</v>
      </c>
      <c r="D349" s="17"/>
      <c r="E349" s="17">
        <v>0.11899999999999999</v>
      </c>
      <c r="F349" s="17">
        <v>7.5999999999999998E-2</v>
      </c>
      <c r="G349" s="17">
        <v>2</v>
      </c>
      <c r="H349" s="17">
        <v>8.5999999999999993E-2</v>
      </c>
      <c r="I349" s="17">
        <v>1.4999999999999999E-2</v>
      </c>
      <c r="J349" s="17">
        <v>17.091999999999999</v>
      </c>
    </row>
    <row r="350" spans="2:10" x14ac:dyDescent="0.25">
      <c r="B350" s="17"/>
      <c r="C350" s="17" t="s">
        <v>241</v>
      </c>
      <c r="D350" s="17"/>
      <c r="E350" s="17">
        <v>0.14000000000000001</v>
      </c>
      <c r="F350" s="17">
        <v>9.6000000000000002E-2</v>
      </c>
      <c r="G350" s="17"/>
      <c r="H350" s="17"/>
      <c r="I350" s="17"/>
      <c r="J350" s="17"/>
    </row>
    <row r="351" spans="2:10" x14ac:dyDescent="0.25">
      <c r="B351" s="17" t="s">
        <v>197</v>
      </c>
      <c r="C351" s="17" t="s">
        <v>242</v>
      </c>
      <c r="D351" s="17"/>
      <c r="E351" s="17">
        <v>0.111</v>
      </c>
      <c r="F351" s="17">
        <v>6.8000000000000005E-2</v>
      </c>
      <c r="G351" s="17">
        <v>2</v>
      </c>
      <c r="H351" s="17">
        <v>7.3999999999999996E-2</v>
      </c>
      <c r="I351" s="17">
        <v>8.9999999999999993E-3</v>
      </c>
      <c r="J351" s="17">
        <v>12.173</v>
      </c>
    </row>
    <row r="352" spans="2:10" x14ac:dyDescent="0.25">
      <c r="B352" s="17"/>
      <c r="C352" s="17" t="s">
        <v>243</v>
      </c>
      <c r="D352" s="17"/>
      <c r="E352" s="17">
        <v>0.124</v>
      </c>
      <c r="F352" s="17">
        <v>8.1000000000000003E-2</v>
      </c>
      <c r="G352" s="17"/>
      <c r="H352" s="17"/>
      <c r="I352" s="17"/>
      <c r="J352" s="17"/>
    </row>
    <row r="353" spans="2:10" x14ac:dyDescent="0.25">
      <c r="B353" s="17" t="s">
        <v>203</v>
      </c>
      <c r="C353" s="17" t="s">
        <v>244</v>
      </c>
      <c r="D353" s="17"/>
      <c r="E353" s="17">
        <v>0.19700000000000001</v>
      </c>
      <c r="F353" s="17">
        <v>0.154</v>
      </c>
      <c r="G353" s="17">
        <v>2</v>
      </c>
      <c r="H353" s="17">
        <v>0.16500000000000001</v>
      </c>
      <c r="I353" s="17">
        <v>1.4999999999999999E-2</v>
      </c>
      <c r="J353" s="17">
        <v>9.0129999999999999</v>
      </c>
    </row>
    <row r="354" spans="2:10" x14ac:dyDescent="0.25">
      <c r="B354" s="17"/>
      <c r="C354" s="17" t="s">
        <v>245</v>
      </c>
      <c r="D354" s="17"/>
      <c r="E354" s="17">
        <v>0.218</v>
      </c>
      <c r="F354" s="17">
        <v>0.17499999999999999</v>
      </c>
      <c r="G354" s="17"/>
      <c r="H354" s="17"/>
      <c r="I354" s="17"/>
      <c r="J354" s="17"/>
    </row>
    <row r="355" spans="2:10" x14ac:dyDescent="0.25">
      <c r="B355" s="17" t="s">
        <v>209</v>
      </c>
      <c r="C355" s="17" t="s">
        <v>246</v>
      </c>
      <c r="D355" s="17"/>
      <c r="E355" s="17">
        <v>0.14199999999999999</v>
      </c>
      <c r="F355" s="17">
        <v>9.9000000000000005E-2</v>
      </c>
      <c r="G355" s="17">
        <v>2</v>
      </c>
      <c r="H355" s="17">
        <v>0.113</v>
      </c>
      <c r="I355" s="17">
        <v>1.9E-2</v>
      </c>
      <c r="J355" s="17">
        <v>17.082999999999998</v>
      </c>
    </row>
    <row r="356" spans="2:10" x14ac:dyDescent="0.25">
      <c r="B356" s="17"/>
      <c r="C356" s="17" t="s">
        <v>247</v>
      </c>
      <c r="D356" s="17"/>
      <c r="E356" s="17">
        <v>0.17</v>
      </c>
      <c r="F356" s="17">
        <v>0.127</v>
      </c>
      <c r="G356" s="17"/>
      <c r="H356" s="17"/>
      <c r="I356" s="17"/>
      <c r="J356" s="17"/>
    </row>
    <row r="357" spans="2:10" x14ac:dyDescent="0.25">
      <c r="B357" s="17" t="s">
        <v>215</v>
      </c>
      <c r="C357" s="17" t="s">
        <v>248</v>
      </c>
      <c r="D357" s="17"/>
      <c r="E357" s="17">
        <v>5.2999999999999999E-2</v>
      </c>
      <c r="F357" s="17">
        <v>0.01</v>
      </c>
      <c r="G357" s="17">
        <v>2</v>
      </c>
      <c r="H357" s="17">
        <v>4.0000000000000001E-3</v>
      </c>
      <c r="I357" s="17">
        <v>8.0000000000000002E-3</v>
      </c>
      <c r="J357" s="17">
        <v>190.68</v>
      </c>
    </row>
    <row r="358" spans="2:10" x14ac:dyDescent="0.25">
      <c r="B358" s="17"/>
      <c r="C358" s="17" t="s">
        <v>249</v>
      </c>
      <c r="D358" s="17"/>
      <c r="E358" s="17">
        <v>4.2000000000000003E-2</v>
      </c>
      <c r="F358" s="17">
        <v>-2E-3</v>
      </c>
      <c r="G358" s="17"/>
      <c r="H358" s="17"/>
      <c r="I358" s="17"/>
      <c r="J358" s="17"/>
    </row>
    <row r="359" spans="2:10" x14ac:dyDescent="0.25">
      <c r="B359" s="17" t="s">
        <v>198</v>
      </c>
      <c r="C359" s="17" t="s">
        <v>250</v>
      </c>
      <c r="D359" s="17"/>
      <c r="E359" s="17">
        <v>0.111</v>
      </c>
      <c r="F359" s="17">
        <v>6.8000000000000005E-2</v>
      </c>
      <c r="G359" s="17">
        <v>2</v>
      </c>
      <c r="H359" s="17">
        <v>7.1999999999999995E-2</v>
      </c>
      <c r="I359" s="17">
        <v>5.0000000000000001E-3</v>
      </c>
      <c r="J359" s="17">
        <v>7.5</v>
      </c>
    </row>
    <row r="360" spans="2:10" x14ac:dyDescent="0.25">
      <c r="B360" s="17"/>
      <c r="C360" s="17" t="s">
        <v>251</v>
      </c>
      <c r="D360" s="17"/>
      <c r="E360" s="17">
        <v>0.11799999999999999</v>
      </c>
      <c r="F360" s="17">
        <v>7.4999999999999997E-2</v>
      </c>
      <c r="G360" s="17"/>
      <c r="H360" s="17"/>
      <c r="I360" s="17"/>
      <c r="J360" s="17"/>
    </row>
    <row r="361" spans="2:10" x14ac:dyDescent="0.25">
      <c r="B361" s="17" t="s">
        <v>204</v>
      </c>
      <c r="C361" s="17" t="s">
        <v>252</v>
      </c>
      <c r="D361" s="17"/>
      <c r="E361" s="17">
        <v>0.114</v>
      </c>
      <c r="F361" s="17">
        <v>7.0999999999999994E-2</v>
      </c>
      <c r="G361" s="17">
        <v>2</v>
      </c>
      <c r="H361" s="17">
        <v>7.2999999999999995E-2</v>
      </c>
      <c r="I361" s="17">
        <v>3.0000000000000001E-3</v>
      </c>
      <c r="J361" s="17">
        <v>3.6880000000000002</v>
      </c>
    </row>
    <row r="362" spans="2:10" x14ac:dyDescent="0.25">
      <c r="B362" s="17"/>
      <c r="C362" s="17" t="s">
        <v>253</v>
      </c>
      <c r="D362" s="17"/>
      <c r="E362" s="17">
        <v>0.11799999999999999</v>
      </c>
      <c r="F362" s="17">
        <v>7.4999999999999997E-2</v>
      </c>
      <c r="G362" s="17"/>
      <c r="H362" s="17"/>
      <c r="I362" s="17"/>
      <c r="J362" s="17"/>
    </row>
    <row r="363" spans="2:10" x14ac:dyDescent="0.25">
      <c r="B363" s="17" t="s">
        <v>210</v>
      </c>
      <c r="C363" s="17" t="s">
        <v>254</v>
      </c>
      <c r="D363" s="17"/>
      <c r="E363" s="17">
        <v>4.2000000000000003E-2</v>
      </c>
      <c r="F363" s="17">
        <v>-1E-3</v>
      </c>
      <c r="G363" s="17">
        <v>2</v>
      </c>
      <c r="H363" s="17">
        <v>0</v>
      </c>
      <c r="I363" s="17">
        <v>1E-3</v>
      </c>
      <c r="J363" s="17">
        <v>-2262.7420000000002</v>
      </c>
    </row>
    <row r="364" spans="2:10" x14ac:dyDescent="0.25">
      <c r="B364" s="17"/>
      <c r="C364" s="17" t="s">
        <v>255</v>
      </c>
      <c r="D364" s="17"/>
      <c r="E364" s="17">
        <v>4.3999999999999997E-2</v>
      </c>
      <c r="F364" s="17">
        <v>1E-3</v>
      </c>
      <c r="G364" s="17"/>
      <c r="H364" s="17"/>
      <c r="I364" s="17"/>
      <c r="J364" s="17"/>
    </row>
    <row r="365" spans="2:10" x14ac:dyDescent="0.25">
      <c r="B365" s="17" t="s">
        <v>216</v>
      </c>
      <c r="C365" s="17" t="s">
        <v>256</v>
      </c>
      <c r="D365" s="17"/>
      <c r="E365" s="17">
        <v>6.6000000000000003E-2</v>
      </c>
      <c r="F365" s="17">
        <v>2.3E-2</v>
      </c>
      <c r="G365" s="17">
        <v>2</v>
      </c>
      <c r="H365" s="17">
        <v>2.4E-2</v>
      </c>
      <c r="I365" s="17">
        <v>1E-3</v>
      </c>
      <c r="J365" s="17">
        <v>6.1360000000000001</v>
      </c>
    </row>
    <row r="366" spans="2:10" x14ac:dyDescent="0.25">
      <c r="B366" s="17"/>
      <c r="C366" s="17" t="s">
        <v>257</v>
      </c>
      <c r="D366" s="17"/>
      <c r="E366" s="17">
        <v>6.8000000000000005E-2</v>
      </c>
      <c r="F366" s="17">
        <v>2.5000000000000001E-2</v>
      </c>
      <c r="G366" s="17"/>
      <c r="H366" s="17"/>
      <c r="I366" s="17"/>
      <c r="J366" s="17"/>
    </row>
    <row r="367" spans="2:10" x14ac:dyDescent="0.25">
      <c r="B367" s="17" t="s">
        <v>199</v>
      </c>
      <c r="C367" s="17" t="s">
        <v>258</v>
      </c>
      <c r="D367" s="17"/>
      <c r="E367" s="17">
        <v>0.10299999999999999</v>
      </c>
      <c r="F367" s="17">
        <v>0.06</v>
      </c>
      <c r="G367" s="17">
        <v>2</v>
      </c>
      <c r="H367" s="17">
        <v>6.7000000000000004E-2</v>
      </c>
      <c r="I367" s="17">
        <v>0.01</v>
      </c>
      <c r="J367" s="17">
        <v>14.333</v>
      </c>
    </row>
    <row r="368" spans="2:10" x14ac:dyDescent="0.25">
      <c r="B368" s="17"/>
      <c r="C368" s="17" t="s">
        <v>259</v>
      </c>
      <c r="D368" s="17"/>
      <c r="E368" s="17">
        <v>0.11600000000000001</v>
      </c>
      <c r="F368" s="17">
        <v>7.2999999999999995E-2</v>
      </c>
      <c r="G368" s="17"/>
      <c r="H368" s="17"/>
      <c r="I368" s="17"/>
      <c r="J368" s="17"/>
    </row>
    <row r="369" spans="2:10" x14ac:dyDescent="0.25">
      <c r="B369" s="17" t="s">
        <v>205</v>
      </c>
      <c r="C369" s="17" t="s">
        <v>260</v>
      </c>
      <c r="D369" s="17"/>
      <c r="E369" s="17">
        <v>5.3999999999999999E-2</v>
      </c>
      <c r="F369" s="17">
        <v>1.0999999999999999E-2</v>
      </c>
      <c r="G369" s="17">
        <v>2</v>
      </c>
      <c r="H369" s="17">
        <v>8.0000000000000002E-3</v>
      </c>
      <c r="I369" s="17">
        <v>5.0000000000000001E-3</v>
      </c>
      <c r="J369" s="17">
        <v>64.364999999999995</v>
      </c>
    </row>
    <row r="370" spans="2:10" x14ac:dyDescent="0.25">
      <c r="B370" s="17"/>
      <c r="C370" s="17" t="s">
        <v>261</v>
      </c>
      <c r="D370" s="17"/>
      <c r="E370" s="17">
        <v>4.7E-2</v>
      </c>
      <c r="F370" s="17">
        <v>4.0000000000000001E-3</v>
      </c>
      <c r="G370" s="17"/>
      <c r="H370" s="17"/>
      <c r="I370" s="17"/>
      <c r="J370" s="17"/>
    </row>
    <row r="371" spans="2:10" x14ac:dyDescent="0.25">
      <c r="B371" s="17" t="s">
        <v>211</v>
      </c>
      <c r="C371" s="17" t="s">
        <v>262</v>
      </c>
      <c r="D371" s="17"/>
      <c r="E371" s="17">
        <v>0.11700000000000001</v>
      </c>
      <c r="F371" s="17">
        <v>7.3999999999999996E-2</v>
      </c>
      <c r="G371" s="17">
        <v>2</v>
      </c>
      <c r="H371" s="17">
        <v>7.3999999999999996E-2</v>
      </c>
      <c r="I371" s="17">
        <v>0</v>
      </c>
      <c r="J371" s="17">
        <v>0.57699999999999996</v>
      </c>
    </row>
    <row r="372" spans="2:10" x14ac:dyDescent="0.25">
      <c r="B372" s="17"/>
      <c r="C372" s="17" t="s">
        <v>263</v>
      </c>
      <c r="D372" s="17"/>
      <c r="E372" s="17">
        <v>0.11600000000000001</v>
      </c>
      <c r="F372" s="17">
        <v>7.2999999999999995E-2</v>
      </c>
      <c r="G372" s="17"/>
      <c r="H372" s="17"/>
      <c r="I372" s="17"/>
      <c r="J372" s="17"/>
    </row>
    <row r="373" spans="2:10" x14ac:dyDescent="0.25">
      <c r="B373" s="17" t="s">
        <v>217</v>
      </c>
      <c r="C373" s="17" t="s">
        <v>264</v>
      </c>
      <c r="D373" s="17"/>
      <c r="E373" s="17">
        <v>0.28299999999999997</v>
      </c>
      <c r="F373" s="17">
        <v>0.24</v>
      </c>
      <c r="G373" s="17">
        <v>2</v>
      </c>
      <c r="H373" s="17">
        <v>0.22700000000000001</v>
      </c>
      <c r="I373" s="17">
        <v>1.7999999999999999E-2</v>
      </c>
      <c r="J373" s="17">
        <v>8.0459999999999994</v>
      </c>
    </row>
    <row r="374" spans="2:10" x14ac:dyDescent="0.25">
      <c r="B374" s="17"/>
      <c r="C374" s="17" t="s">
        <v>265</v>
      </c>
      <c r="D374" s="17"/>
      <c r="E374" s="17">
        <v>0.25700000000000001</v>
      </c>
      <c r="F374" s="17">
        <v>0.214</v>
      </c>
      <c r="G374" s="17"/>
      <c r="H374" s="17"/>
      <c r="I374" s="17"/>
      <c r="J374" s="17"/>
    </row>
    <row r="375" spans="2:10" x14ac:dyDescent="0.25">
      <c r="B375" s="17" t="s">
        <v>98</v>
      </c>
      <c r="C375" s="17" t="s">
        <v>88</v>
      </c>
      <c r="D375" s="17">
        <v>0</v>
      </c>
      <c r="E375" s="17">
        <v>5.3999999999999999E-2</v>
      </c>
      <c r="F375" s="17">
        <v>1.0999999999999999E-2</v>
      </c>
      <c r="G375" s="17">
        <v>2</v>
      </c>
      <c r="H375" s="17">
        <v>6.0000000000000001E-3</v>
      </c>
      <c r="I375" s="17">
        <v>7.0000000000000001E-3</v>
      </c>
      <c r="J375" s="17">
        <v>127.89400000000001</v>
      </c>
    </row>
    <row r="376" spans="2:10" x14ac:dyDescent="0.25">
      <c r="B376" s="17"/>
      <c r="C376" s="17" t="s">
        <v>89</v>
      </c>
      <c r="D376" s="17">
        <v>0</v>
      </c>
      <c r="E376" s="17">
        <v>4.3999999999999997E-2</v>
      </c>
      <c r="F376" s="17">
        <v>1E-3</v>
      </c>
      <c r="G376" s="17"/>
      <c r="H376" s="17"/>
      <c r="I376" s="17"/>
      <c r="J376" s="17"/>
    </row>
    <row r="377" spans="2:10" x14ac:dyDescent="0.25">
      <c r="B377" s="17" t="s">
        <v>43</v>
      </c>
      <c r="C377" s="17" t="s">
        <v>91</v>
      </c>
      <c r="D377" s="17">
        <v>12.5</v>
      </c>
      <c r="E377" s="17">
        <v>5.6000000000000001E-2</v>
      </c>
      <c r="F377" s="17">
        <v>1.2999999999999999E-2</v>
      </c>
      <c r="G377" s="17">
        <v>2</v>
      </c>
      <c r="H377" s="17">
        <v>1.2999999999999999E-2</v>
      </c>
      <c r="I377" s="17">
        <v>0</v>
      </c>
      <c r="J377" s="17">
        <v>0.53200000000000003</v>
      </c>
    </row>
    <row r="378" spans="2:10" x14ac:dyDescent="0.25">
      <c r="B378" s="17"/>
      <c r="C378" s="17" t="s">
        <v>90</v>
      </c>
      <c r="D378" s="17">
        <v>12.5</v>
      </c>
      <c r="E378" s="17">
        <v>5.6000000000000001E-2</v>
      </c>
      <c r="F378" s="17">
        <v>1.2999999999999999E-2</v>
      </c>
      <c r="G378" s="17"/>
      <c r="H378" s="17"/>
      <c r="I378" s="17"/>
      <c r="J378" s="17"/>
    </row>
    <row r="379" spans="2:10" x14ac:dyDescent="0.25">
      <c r="B379" s="17" t="s">
        <v>49</v>
      </c>
      <c r="C379" s="17" t="s">
        <v>92</v>
      </c>
      <c r="D379" s="17">
        <v>50</v>
      </c>
      <c r="E379" s="17">
        <v>8.7999999999999995E-2</v>
      </c>
      <c r="F379" s="17">
        <v>4.4999999999999998E-2</v>
      </c>
      <c r="G379" s="17">
        <v>2</v>
      </c>
      <c r="H379" s="17">
        <v>0.05</v>
      </c>
      <c r="I379" s="17">
        <v>6.0000000000000001E-3</v>
      </c>
      <c r="J379" s="17">
        <v>12.483000000000001</v>
      </c>
    </row>
    <row r="380" spans="2:10" x14ac:dyDescent="0.25">
      <c r="B380" s="17"/>
      <c r="C380" s="17" t="s">
        <v>93</v>
      </c>
      <c r="D380" s="17">
        <v>50</v>
      </c>
      <c r="E380" s="17">
        <v>9.7000000000000003E-2</v>
      </c>
      <c r="F380" s="17">
        <v>5.3999999999999999E-2</v>
      </c>
      <c r="G380" s="17"/>
      <c r="H380" s="17"/>
      <c r="I380" s="17"/>
      <c r="J380" s="17"/>
    </row>
    <row r="381" spans="2:10" x14ac:dyDescent="0.25">
      <c r="B381" s="17" t="s">
        <v>102</v>
      </c>
      <c r="C381" s="17" t="s">
        <v>94</v>
      </c>
      <c r="D381" s="17">
        <v>100</v>
      </c>
      <c r="E381" s="17">
        <v>0.14000000000000001</v>
      </c>
      <c r="F381" s="17">
        <v>9.7000000000000003E-2</v>
      </c>
      <c r="G381" s="17">
        <v>2</v>
      </c>
      <c r="H381" s="17">
        <v>9.9000000000000005E-2</v>
      </c>
      <c r="I381" s="17">
        <v>3.0000000000000001E-3</v>
      </c>
      <c r="J381" s="17">
        <v>3.4929999999999999</v>
      </c>
    </row>
    <row r="382" spans="2:10" x14ac:dyDescent="0.25">
      <c r="B382" s="17"/>
      <c r="C382" s="17" t="s">
        <v>95</v>
      </c>
      <c r="D382" s="17">
        <v>100</v>
      </c>
      <c r="E382" s="17">
        <v>0.14499999999999999</v>
      </c>
      <c r="F382" s="17">
        <v>0.10199999999999999</v>
      </c>
      <c r="G382" s="17"/>
      <c r="H382" s="17"/>
      <c r="I382" s="17"/>
      <c r="J382" s="17"/>
    </row>
    <row r="383" spans="2:10" x14ac:dyDescent="0.25">
      <c r="B383" s="17" t="s">
        <v>55</v>
      </c>
      <c r="C383" s="17" t="s">
        <v>66</v>
      </c>
      <c r="D383" s="17">
        <v>150</v>
      </c>
      <c r="E383" s="17">
        <v>0.20599999999999999</v>
      </c>
      <c r="F383" s="17">
        <v>0.16300000000000001</v>
      </c>
      <c r="G383" s="17">
        <v>2</v>
      </c>
      <c r="H383" s="17">
        <v>0.16900000000000001</v>
      </c>
      <c r="I383" s="17">
        <v>8.0000000000000002E-3</v>
      </c>
      <c r="J383" s="17">
        <v>5.0309999999999997</v>
      </c>
    </row>
    <row r="384" spans="2:10" x14ac:dyDescent="0.25">
      <c r="B384" s="17"/>
      <c r="C384" s="17" t="s">
        <v>67</v>
      </c>
      <c r="D384" s="17">
        <v>150</v>
      </c>
      <c r="E384" s="17">
        <v>0.218</v>
      </c>
      <c r="F384" s="17">
        <v>0.17499999999999999</v>
      </c>
      <c r="G384" s="17"/>
      <c r="H384" s="17"/>
      <c r="I384" s="17"/>
      <c r="J384" s="17"/>
    </row>
    <row r="385" spans="2:10" x14ac:dyDescent="0.25">
      <c r="B385" s="17" t="s">
        <v>134</v>
      </c>
      <c r="C385" s="17" t="s">
        <v>68</v>
      </c>
      <c r="D385" s="17">
        <v>200</v>
      </c>
      <c r="E385" s="17">
        <v>0.32100000000000001</v>
      </c>
      <c r="F385" s="17">
        <v>0.27800000000000002</v>
      </c>
      <c r="G385" s="17">
        <v>2</v>
      </c>
      <c r="H385" s="17">
        <v>0.24299999999999999</v>
      </c>
      <c r="I385" s="17">
        <v>4.9000000000000002E-2</v>
      </c>
      <c r="J385" s="17">
        <v>20.315000000000001</v>
      </c>
    </row>
    <row r="386" spans="2:10" x14ac:dyDescent="0.25">
      <c r="B386" s="17"/>
      <c r="C386" s="17" t="s">
        <v>69</v>
      </c>
      <c r="D386" s="17">
        <v>200</v>
      </c>
      <c r="E386" s="17">
        <v>0.251</v>
      </c>
      <c r="F386" s="17">
        <v>0.20799999999999999</v>
      </c>
      <c r="G386" s="17"/>
      <c r="H386" s="17"/>
      <c r="I386" s="17"/>
      <c r="J386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C699-7D5F-4E9C-A980-A1C66D2CF9A4}">
  <dimension ref="A2:O141"/>
  <sheetViews>
    <sheetView topLeftCell="A11" workbookViewId="0">
      <selection activeCell="E129" sqref="E129"/>
    </sheetView>
  </sheetViews>
  <sheetFormatPr defaultRowHeight="13.2" x14ac:dyDescent="0.25"/>
  <cols>
    <col min="1" max="1" width="18.59765625" style="60" customWidth="1"/>
    <col min="2" max="2" width="11.3984375" style="60" customWidth="1"/>
    <col min="3" max="16384" width="8.796875" style="60"/>
  </cols>
  <sheetData>
    <row r="2" spans="1:2" x14ac:dyDescent="0.25">
      <c r="A2" s="60" t="s">
        <v>16</v>
      </c>
      <c r="B2" s="60" t="s">
        <v>17</v>
      </c>
    </row>
    <row r="4" spans="1:2" x14ac:dyDescent="0.25">
      <c r="A4" s="60" t="s">
        <v>18</v>
      </c>
      <c r="B4" s="60" t="s">
        <v>188</v>
      </c>
    </row>
    <row r="5" spans="1:2" x14ac:dyDescent="0.25">
      <c r="A5" s="60" t="s">
        <v>19</v>
      </c>
      <c r="B5" s="60" t="s">
        <v>189</v>
      </c>
    </row>
    <row r="6" spans="1:2" x14ac:dyDescent="0.25">
      <c r="A6" s="60" t="s">
        <v>20</v>
      </c>
      <c r="B6" s="60" t="s">
        <v>21</v>
      </c>
    </row>
    <row r="7" spans="1:2" x14ac:dyDescent="0.25">
      <c r="A7" s="60" t="s">
        <v>1</v>
      </c>
      <c r="B7" s="61">
        <v>45603</v>
      </c>
    </row>
    <row r="8" spans="1:2" x14ac:dyDescent="0.25">
      <c r="A8" s="60" t="s">
        <v>22</v>
      </c>
      <c r="B8" s="62">
        <v>0.58288194444444441</v>
      </c>
    </row>
    <row r="9" spans="1:2" x14ac:dyDescent="0.25">
      <c r="A9" s="60" t="s">
        <v>23</v>
      </c>
      <c r="B9" s="60" t="s">
        <v>101</v>
      </c>
    </row>
    <row r="10" spans="1:2" x14ac:dyDescent="0.25">
      <c r="A10" s="60" t="s">
        <v>24</v>
      </c>
      <c r="B10" s="60" t="s">
        <v>190</v>
      </c>
    </row>
    <row r="11" spans="1:2" x14ac:dyDescent="0.25">
      <c r="A11" s="60" t="s">
        <v>25</v>
      </c>
      <c r="B11" s="60" t="s">
        <v>26</v>
      </c>
    </row>
    <row r="13" spans="1:2" x14ac:dyDescent="0.25">
      <c r="A13" s="63" t="s">
        <v>27</v>
      </c>
      <c r="B13" s="64"/>
    </row>
    <row r="14" spans="1:2" x14ac:dyDescent="0.25">
      <c r="A14" s="60" t="s">
        <v>28</v>
      </c>
      <c r="B14" s="60" t="s">
        <v>29</v>
      </c>
    </row>
    <row r="15" spans="1:2" x14ac:dyDescent="0.25">
      <c r="A15" s="60" t="s">
        <v>30</v>
      </c>
    </row>
    <row r="16" spans="1:2" x14ac:dyDescent="0.25">
      <c r="A16" s="60" t="s">
        <v>31</v>
      </c>
      <c r="B16" s="60" t="s">
        <v>32</v>
      </c>
    </row>
    <row r="17" spans="1:15" x14ac:dyDescent="0.25">
      <c r="B17" s="60" t="s">
        <v>191</v>
      </c>
    </row>
    <row r="18" spans="1:15" x14ac:dyDescent="0.25">
      <c r="B18" s="60" t="s">
        <v>96</v>
      </c>
    </row>
    <row r="19" spans="1:15" x14ac:dyDescent="0.25">
      <c r="B19" s="60" t="s">
        <v>97</v>
      </c>
    </row>
    <row r="21" spans="1:15" x14ac:dyDescent="0.25">
      <c r="A21" s="63" t="s">
        <v>34</v>
      </c>
      <c r="B21" s="64"/>
    </row>
    <row r="23" spans="1:15" x14ac:dyDescent="0.25">
      <c r="B23" s="65"/>
      <c r="C23" s="66">
        <v>1</v>
      </c>
      <c r="D23" s="66">
        <v>2</v>
      </c>
      <c r="E23" s="66">
        <v>3</v>
      </c>
      <c r="F23" s="66">
        <v>4</v>
      </c>
      <c r="G23" s="66">
        <v>5</v>
      </c>
      <c r="H23" s="66">
        <v>6</v>
      </c>
      <c r="I23" s="66">
        <v>7</v>
      </c>
      <c r="J23" s="66">
        <v>8</v>
      </c>
      <c r="K23" s="66">
        <v>9</v>
      </c>
      <c r="L23" s="66">
        <v>10</v>
      </c>
      <c r="M23" s="66">
        <v>11</v>
      </c>
      <c r="N23" s="66">
        <v>12</v>
      </c>
    </row>
    <row r="24" spans="1:15" x14ac:dyDescent="0.25">
      <c r="B24" s="93" t="s">
        <v>35</v>
      </c>
      <c r="C24" s="67" t="s">
        <v>36</v>
      </c>
      <c r="D24" s="68" t="s">
        <v>102</v>
      </c>
      <c r="E24" s="69" t="s">
        <v>50</v>
      </c>
      <c r="F24" s="70"/>
      <c r="G24" s="70"/>
      <c r="H24" s="70"/>
      <c r="I24" s="70"/>
      <c r="J24" s="70"/>
      <c r="K24" s="70"/>
      <c r="L24" s="70"/>
      <c r="M24" s="70"/>
      <c r="N24" s="70"/>
      <c r="O24" s="71" t="s">
        <v>39</v>
      </c>
    </row>
    <row r="25" spans="1:15" x14ac:dyDescent="0.25">
      <c r="B25" s="94"/>
      <c r="C25" s="72"/>
      <c r="D25" s="73">
        <v>100</v>
      </c>
      <c r="E25" s="74"/>
      <c r="F25" s="75"/>
      <c r="G25" s="75"/>
      <c r="H25" s="75"/>
      <c r="I25" s="75"/>
      <c r="J25" s="75"/>
      <c r="K25" s="75"/>
      <c r="L25" s="75"/>
      <c r="M25" s="75"/>
      <c r="N25" s="75"/>
      <c r="O25" s="71" t="s">
        <v>40</v>
      </c>
    </row>
    <row r="26" spans="1:15" x14ac:dyDescent="0.25">
      <c r="B26" s="93" t="s">
        <v>41</v>
      </c>
      <c r="C26" s="67" t="s">
        <v>36</v>
      </c>
      <c r="D26" s="68" t="s">
        <v>102</v>
      </c>
      <c r="E26" s="69" t="s">
        <v>50</v>
      </c>
      <c r="F26" s="70"/>
      <c r="G26" s="70"/>
      <c r="H26" s="70"/>
      <c r="I26" s="70"/>
      <c r="J26" s="70"/>
      <c r="K26" s="70"/>
      <c r="L26" s="70"/>
      <c r="M26" s="70"/>
      <c r="N26" s="70"/>
      <c r="O26" s="71" t="s">
        <v>39</v>
      </c>
    </row>
    <row r="27" spans="1:15" x14ac:dyDescent="0.25">
      <c r="B27" s="94"/>
      <c r="C27" s="72"/>
      <c r="D27" s="73">
        <v>100</v>
      </c>
      <c r="E27" s="74"/>
      <c r="F27" s="75"/>
      <c r="G27" s="75"/>
      <c r="H27" s="75"/>
      <c r="I27" s="75"/>
      <c r="J27" s="75"/>
      <c r="K27" s="75"/>
      <c r="L27" s="75"/>
      <c r="M27" s="75"/>
      <c r="N27" s="75"/>
      <c r="O27" s="71" t="s">
        <v>40</v>
      </c>
    </row>
    <row r="28" spans="1:15" x14ac:dyDescent="0.25">
      <c r="B28" s="93" t="s">
        <v>42</v>
      </c>
      <c r="C28" s="68" t="s">
        <v>98</v>
      </c>
      <c r="D28" s="68" t="s">
        <v>55</v>
      </c>
      <c r="E28" s="69" t="s">
        <v>56</v>
      </c>
      <c r="F28" s="70"/>
      <c r="G28" s="70"/>
      <c r="H28" s="70"/>
      <c r="I28" s="70"/>
      <c r="J28" s="70"/>
      <c r="K28" s="70"/>
      <c r="L28" s="70"/>
      <c r="M28" s="70"/>
      <c r="N28" s="70"/>
      <c r="O28" s="71" t="s">
        <v>39</v>
      </c>
    </row>
    <row r="29" spans="1:15" x14ac:dyDescent="0.25">
      <c r="B29" s="94"/>
      <c r="C29" s="73">
        <v>0</v>
      </c>
      <c r="D29" s="73">
        <v>150</v>
      </c>
      <c r="E29" s="74"/>
      <c r="F29" s="75"/>
      <c r="G29" s="75"/>
      <c r="H29" s="75"/>
      <c r="I29" s="75"/>
      <c r="J29" s="75"/>
      <c r="K29" s="75"/>
      <c r="L29" s="75"/>
      <c r="M29" s="75"/>
      <c r="N29" s="75"/>
      <c r="O29" s="71" t="s">
        <v>40</v>
      </c>
    </row>
    <row r="30" spans="1:15" x14ac:dyDescent="0.25">
      <c r="B30" s="93" t="s">
        <v>47</v>
      </c>
      <c r="C30" s="68" t="s">
        <v>98</v>
      </c>
      <c r="D30" s="68" t="s">
        <v>55</v>
      </c>
      <c r="E30" s="69" t="s">
        <v>56</v>
      </c>
      <c r="F30" s="70"/>
      <c r="G30" s="70"/>
      <c r="H30" s="70"/>
      <c r="I30" s="70"/>
      <c r="J30" s="70"/>
      <c r="K30" s="70"/>
      <c r="L30" s="70"/>
      <c r="M30" s="70"/>
      <c r="N30" s="70"/>
      <c r="O30" s="71" t="s">
        <v>39</v>
      </c>
    </row>
    <row r="31" spans="1:15" x14ac:dyDescent="0.25">
      <c r="B31" s="94"/>
      <c r="C31" s="73">
        <v>0</v>
      </c>
      <c r="D31" s="73">
        <v>150</v>
      </c>
      <c r="E31" s="74"/>
      <c r="F31" s="75"/>
      <c r="G31" s="75"/>
      <c r="H31" s="75"/>
      <c r="I31" s="75"/>
      <c r="J31" s="75"/>
      <c r="K31" s="75"/>
      <c r="L31" s="75"/>
      <c r="M31" s="75"/>
      <c r="N31" s="75"/>
      <c r="O31" s="71" t="s">
        <v>40</v>
      </c>
    </row>
    <row r="32" spans="1:15" x14ac:dyDescent="0.25">
      <c r="B32" s="93" t="s">
        <v>48</v>
      </c>
      <c r="C32" s="68" t="s">
        <v>43</v>
      </c>
      <c r="D32" s="68" t="s">
        <v>134</v>
      </c>
      <c r="E32" s="69" t="s">
        <v>37</v>
      </c>
      <c r="F32" s="70"/>
      <c r="G32" s="70"/>
      <c r="H32" s="70"/>
      <c r="I32" s="70"/>
      <c r="J32" s="70"/>
      <c r="K32" s="70"/>
      <c r="L32" s="70"/>
      <c r="M32" s="70"/>
      <c r="N32" s="70"/>
      <c r="O32" s="71" t="s">
        <v>39</v>
      </c>
    </row>
    <row r="33" spans="1:15" x14ac:dyDescent="0.25">
      <c r="B33" s="94"/>
      <c r="C33" s="73">
        <v>12.5</v>
      </c>
      <c r="D33" s="73">
        <v>200</v>
      </c>
      <c r="E33" s="74"/>
      <c r="F33" s="75"/>
      <c r="G33" s="75"/>
      <c r="H33" s="75"/>
      <c r="I33" s="75"/>
      <c r="J33" s="75"/>
      <c r="K33" s="75"/>
      <c r="L33" s="75"/>
      <c r="M33" s="75"/>
      <c r="N33" s="75"/>
      <c r="O33" s="71" t="s">
        <v>40</v>
      </c>
    </row>
    <row r="34" spans="1:15" x14ac:dyDescent="0.25">
      <c r="B34" s="93" t="s">
        <v>53</v>
      </c>
      <c r="C34" s="68" t="s">
        <v>43</v>
      </c>
      <c r="D34" s="68" t="s">
        <v>134</v>
      </c>
      <c r="E34" s="69" t="s">
        <v>37</v>
      </c>
      <c r="F34" s="70"/>
      <c r="G34" s="70"/>
      <c r="H34" s="70"/>
      <c r="I34" s="70"/>
      <c r="J34" s="70"/>
      <c r="K34" s="70"/>
      <c r="L34" s="70"/>
      <c r="M34" s="70"/>
      <c r="N34" s="70"/>
      <c r="O34" s="71" t="s">
        <v>39</v>
      </c>
    </row>
    <row r="35" spans="1:15" x14ac:dyDescent="0.25">
      <c r="B35" s="94"/>
      <c r="C35" s="73">
        <v>12.5</v>
      </c>
      <c r="D35" s="73">
        <v>200</v>
      </c>
      <c r="E35" s="74"/>
      <c r="F35" s="75"/>
      <c r="G35" s="75"/>
      <c r="H35" s="75"/>
      <c r="I35" s="75"/>
      <c r="J35" s="75"/>
      <c r="K35" s="75"/>
      <c r="L35" s="75"/>
      <c r="M35" s="75"/>
      <c r="N35" s="75"/>
      <c r="O35" s="71" t="s">
        <v>40</v>
      </c>
    </row>
    <row r="36" spans="1:15" x14ac:dyDescent="0.25">
      <c r="B36" s="93" t="s">
        <v>54</v>
      </c>
      <c r="C36" s="68" t="s">
        <v>49</v>
      </c>
      <c r="D36" s="69" t="s">
        <v>44</v>
      </c>
      <c r="E36" s="69" t="s">
        <v>45</v>
      </c>
      <c r="F36" s="70"/>
      <c r="G36" s="70"/>
      <c r="H36" s="70"/>
      <c r="I36" s="70"/>
      <c r="J36" s="70"/>
      <c r="K36" s="70"/>
      <c r="L36" s="70"/>
      <c r="M36" s="70"/>
      <c r="N36" s="70"/>
      <c r="O36" s="71" t="s">
        <v>39</v>
      </c>
    </row>
    <row r="37" spans="1:15" x14ac:dyDescent="0.25">
      <c r="B37" s="94"/>
      <c r="C37" s="73">
        <v>50</v>
      </c>
      <c r="D37" s="74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1" t="s">
        <v>40</v>
      </c>
    </row>
    <row r="38" spans="1:15" x14ac:dyDescent="0.25">
      <c r="B38" s="93" t="s">
        <v>58</v>
      </c>
      <c r="C38" s="68" t="s">
        <v>49</v>
      </c>
      <c r="D38" s="69" t="s">
        <v>44</v>
      </c>
      <c r="E38" s="69" t="s">
        <v>45</v>
      </c>
      <c r="F38" s="70"/>
      <c r="G38" s="70"/>
      <c r="H38" s="70"/>
      <c r="I38" s="70"/>
      <c r="J38" s="70"/>
      <c r="K38" s="70"/>
      <c r="L38" s="70"/>
      <c r="M38" s="70"/>
      <c r="N38" s="70"/>
      <c r="O38" s="71" t="s">
        <v>39</v>
      </c>
    </row>
    <row r="39" spans="1:15" x14ac:dyDescent="0.25">
      <c r="B39" s="94"/>
      <c r="C39" s="73">
        <v>50</v>
      </c>
      <c r="D39" s="74"/>
      <c r="E39" s="74"/>
      <c r="F39" s="75"/>
      <c r="G39" s="75"/>
      <c r="H39" s="75"/>
      <c r="I39" s="75"/>
      <c r="J39" s="75"/>
      <c r="K39" s="75"/>
      <c r="L39" s="75"/>
      <c r="M39" s="75"/>
      <c r="N39" s="75"/>
      <c r="O39" s="71" t="s">
        <v>40</v>
      </c>
    </row>
    <row r="41" spans="1:15" x14ac:dyDescent="0.25">
      <c r="A41" s="63">
        <v>500</v>
      </c>
      <c r="B41" s="64"/>
    </row>
    <row r="42" spans="1:15" x14ac:dyDescent="0.25">
      <c r="A42" s="60" t="s">
        <v>59</v>
      </c>
      <c r="B42" s="60">
        <v>25.9</v>
      </c>
    </row>
    <row r="43" spans="1:15" x14ac:dyDescent="0.25">
      <c r="A43" s="60" t="s">
        <v>59</v>
      </c>
      <c r="B43" s="60">
        <v>25.9</v>
      </c>
    </row>
    <row r="44" spans="1:15" x14ac:dyDescent="0.25">
      <c r="A44" s="60" t="s">
        <v>59</v>
      </c>
      <c r="B44" s="60">
        <v>25.9</v>
      </c>
    </row>
    <row r="45" spans="1:15" x14ac:dyDescent="0.25">
      <c r="A45" s="60" t="s">
        <v>59</v>
      </c>
      <c r="B45" s="60">
        <v>25.9</v>
      </c>
    </row>
    <row r="46" spans="1:15" x14ac:dyDescent="0.25">
      <c r="A46" s="60" t="s">
        <v>59</v>
      </c>
      <c r="B46" s="60">
        <v>25.9</v>
      </c>
    </row>
    <row r="48" spans="1:15" x14ac:dyDescent="0.25">
      <c r="B48" s="66" t="s">
        <v>39</v>
      </c>
      <c r="C48" s="66" t="s">
        <v>60</v>
      </c>
      <c r="D48" s="66" t="s">
        <v>40</v>
      </c>
      <c r="E48" s="66">
        <v>500</v>
      </c>
      <c r="F48" s="66" t="s">
        <v>61</v>
      </c>
      <c r="G48" s="66" t="s">
        <v>4</v>
      </c>
      <c r="H48" s="66" t="s">
        <v>62</v>
      </c>
      <c r="I48" s="66" t="s">
        <v>63</v>
      </c>
    </row>
    <row r="49" spans="2:9" x14ac:dyDescent="0.25">
      <c r="B49" s="76" t="s">
        <v>36</v>
      </c>
      <c r="C49" s="76" t="s">
        <v>64</v>
      </c>
      <c r="D49" s="76"/>
      <c r="E49" s="76">
        <v>4.5999999999999999E-2</v>
      </c>
      <c r="F49" s="76">
        <v>2</v>
      </c>
      <c r="G49" s="76">
        <v>4.4999999999999998E-2</v>
      </c>
      <c r="H49" s="76">
        <v>2E-3</v>
      </c>
      <c r="I49" s="76">
        <v>3.78</v>
      </c>
    </row>
    <row r="50" spans="2:9" x14ac:dyDescent="0.25">
      <c r="B50" s="76"/>
      <c r="C50" s="76" t="s">
        <v>65</v>
      </c>
      <c r="D50" s="76"/>
      <c r="E50" s="76">
        <v>4.3999999999999997E-2</v>
      </c>
      <c r="F50" s="76"/>
      <c r="G50" s="76"/>
      <c r="H50" s="76"/>
      <c r="I50" s="76"/>
    </row>
    <row r="51" spans="2:9" x14ac:dyDescent="0.25">
      <c r="B51" s="76" t="s">
        <v>44</v>
      </c>
      <c r="C51" s="76" t="s">
        <v>70</v>
      </c>
      <c r="D51" s="76"/>
      <c r="E51" s="76">
        <v>0.16200000000000001</v>
      </c>
      <c r="F51" s="76">
        <v>2</v>
      </c>
      <c r="G51" s="76">
        <v>0.16200000000000001</v>
      </c>
      <c r="H51" s="76">
        <v>1E-3</v>
      </c>
      <c r="I51" s="76">
        <v>0.70099999999999996</v>
      </c>
    </row>
    <row r="52" spans="2:9" x14ac:dyDescent="0.25">
      <c r="B52" s="76"/>
      <c r="C52" s="76" t="s">
        <v>71</v>
      </c>
      <c r="D52" s="76"/>
      <c r="E52" s="76">
        <v>0.161</v>
      </c>
      <c r="F52" s="76"/>
      <c r="G52" s="76"/>
      <c r="H52" s="76"/>
      <c r="I52" s="76"/>
    </row>
    <row r="53" spans="2:9" x14ac:dyDescent="0.25">
      <c r="B53" s="76" t="s">
        <v>50</v>
      </c>
      <c r="C53" s="76" t="s">
        <v>72</v>
      </c>
      <c r="D53" s="76"/>
      <c r="E53" s="76">
        <v>9.1999999999999998E-2</v>
      </c>
      <c r="F53" s="76">
        <v>2</v>
      </c>
      <c r="G53" s="76">
        <v>9.1999999999999998E-2</v>
      </c>
      <c r="H53" s="76">
        <v>0</v>
      </c>
      <c r="I53" s="76">
        <v>0</v>
      </c>
    </row>
    <row r="54" spans="2:9" x14ac:dyDescent="0.25">
      <c r="B54" s="76"/>
      <c r="C54" s="76" t="s">
        <v>73</v>
      </c>
      <c r="D54" s="76"/>
      <c r="E54" s="76">
        <v>9.1999999999999998E-2</v>
      </c>
      <c r="F54" s="76"/>
      <c r="G54" s="76"/>
      <c r="H54" s="76"/>
      <c r="I54" s="76"/>
    </row>
    <row r="55" spans="2:9" x14ac:dyDescent="0.25">
      <c r="B55" s="76" t="s">
        <v>56</v>
      </c>
      <c r="C55" s="76" t="s">
        <v>74</v>
      </c>
      <c r="D55" s="76"/>
      <c r="E55" s="76">
        <v>0.123</v>
      </c>
      <c r="F55" s="76">
        <v>2</v>
      </c>
      <c r="G55" s="76">
        <v>0.129</v>
      </c>
      <c r="H55" s="76">
        <v>8.9999999999999993E-3</v>
      </c>
      <c r="I55" s="76">
        <v>7.1559999999999997</v>
      </c>
    </row>
    <row r="56" spans="2:9" x14ac:dyDescent="0.25">
      <c r="B56" s="76"/>
      <c r="C56" s="76" t="s">
        <v>75</v>
      </c>
      <c r="D56" s="76"/>
      <c r="E56" s="76">
        <v>0.13600000000000001</v>
      </c>
      <c r="F56" s="76"/>
      <c r="G56" s="76"/>
      <c r="H56" s="76"/>
      <c r="I56" s="76"/>
    </row>
    <row r="57" spans="2:9" x14ac:dyDescent="0.25">
      <c r="B57" s="76" t="s">
        <v>37</v>
      </c>
      <c r="C57" s="76" t="s">
        <v>76</v>
      </c>
      <c r="D57" s="76"/>
      <c r="E57" s="76">
        <v>9.9000000000000005E-2</v>
      </c>
      <c r="F57" s="76">
        <v>2</v>
      </c>
      <c r="G57" s="76">
        <v>9.6000000000000002E-2</v>
      </c>
      <c r="H57" s="76">
        <v>4.0000000000000001E-3</v>
      </c>
      <c r="I57" s="76">
        <v>4.3390000000000004</v>
      </c>
    </row>
    <row r="58" spans="2:9" x14ac:dyDescent="0.25">
      <c r="B58" s="76"/>
      <c r="C58" s="76" t="s">
        <v>77</v>
      </c>
      <c r="D58" s="76"/>
      <c r="E58" s="76">
        <v>9.2999999999999999E-2</v>
      </c>
      <c r="F58" s="76"/>
      <c r="G58" s="76"/>
      <c r="H58" s="76"/>
      <c r="I58" s="76"/>
    </row>
    <row r="59" spans="2:9" x14ac:dyDescent="0.25">
      <c r="B59" s="76" t="s">
        <v>45</v>
      </c>
      <c r="C59" s="76" t="s">
        <v>78</v>
      </c>
      <c r="D59" s="76"/>
      <c r="E59" s="76">
        <v>0.252</v>
      </c>
      <c r="F59" s="76">
        <v>2</v>
      </c>
      <c r="G59" s="76">
        <v>0.253</v>
      </c>
      <c r="H59" s="76">
        <v>2E-3</v>
      </c>
      <c r="I59" s="76">
        <v>0.97699999999999998</v>
      </c>
    </row>
    <row r="60" spans="2:9" x14ac:dyDescent="0.25">
      <c r="B60" s="76"/>
      <c r="C60" s="76" t="s">
        <v>79</v>
      </c>
      <c r="D60" s="76"/>
      <c r="E60" s="76">
        <v>0.255</v>
      </c>
      <c r="F60" s="76"/>
      <c r="G60" s="76"/>
      <c r="H60" s="76"/>
      <c r="I60" s="76"/>
    </row>
    <row r="61" spans="2:9" x14ac:dyDescent="0.25">
      <c r="B61" s="76" t="s">
        <v>98</v>
      </c>
      <c r="C61" s="76" t="s">
        <v>88</v>
      </c>
      <c r="D61" s="76">
        <v>0</v>
      </c>
      <c r="E61" s="76">
        <v>4.8000000000000001E-2</v>
      </c>
      <c r="F61" s="76">
        <v>2</v>
      </c>
      <c r="G61" s="76">
        <v>4.4999999999999998E-2</v>
      </c>
      <c r="H61" s="76">
        <v>3.0000000000000001E-3</v>
      </c>
      <c r="I61" s="76">
        <v>7.149</v>
      </c>
    </row>
    <row r="62" spans="2:9" x14ac:dyDescent="0.25">
      <c r="B62" s="76"/>
      <c r="C62" s="76" t="s">
        <v>89</v>
      </c>
      <c r="D62" s="76">
        <v>0</v>
      </c>
      <c r="E62" s="76">
        <v>4.2999999999999997E-2</v>
      </c>
      <c r="F62" s="76"/>
      <c r="G62" s="76"/>
      <c r="H62" s="76"/>
      <c r="I62" s="76"/>
    </row>
    <row r="63" spans="2:9" x14ac:dyDescent="0.25">
      <c r="B63" s="76" t="s">
        <v>43</v>
      </c>
      <c r="C63" s="76" t="s">
        <v>91</v>
      </c>
      <c r="D63" s="76">
        <v>12.5</v>
      </c>
      <c r="E63" s="76">
        <v>5.6000000000000001E-2</v>
      </c>
      <c r="F63" s="76">
        <v>2</v>
      </c>
      <c r="G63" s="76">
        <v>0.06</v>
      </c>
      <c r="H63" s="76">
        <v>5.0000000000000001E-3</v>
      </c>
      <c r="I63" s="76">
        <v>9.0519999999999996</v>
      </c>
    </row>
    <row r="64" spans="2:9" x14ac:dyDescent="0.25">
      <c r="B64" s="76"/>
      <c r="C64" s="76" t="s">
        <v>90</v>
      </c>
      <c r="D64" s="76">
        <v>12.5</v>
      </c>
      <c r="E64" s="76">
        <v>6.4000000000000001E-2</v>
      </c>
      <c r="F64" s="76"/>
      <c r="G64" s="76"/>
      <c r="H64" s="76"/>
      <c r="I64" s="76"/>
    </row>
    <row r="65" spans="1:9" x14ac:dyDescent="0.25">
      <c r="B65" s="76" t="s">
        <v>49</v>
      </c>
      <c r="C65" s="76" t="s">
        <v>92</v>
      </c>
      <c r="D65" s="76">
        <v>50</v>
      </c>
      <c r="E65" s="76">
        <v>0.10199999999999999</v>
      </c>
      <c r="F65" s="76">
        <v>2</v>
      </c>
      <c r="G65" s="76">
        <v>0.105</v>
      </c>
      <c r="H65" s="76">
        <v>4.0000000000000001E-3</v>
      </c>
      <c r="I65" s="76">
        <v>4.0599999999999996</v>
      </c>
    </row>
    <row r="66" spans="1:9" x14ac:dyDescent="0.25">
      <c r="B66" s="76"/>
      <c r="C66" s="76" t="s">
        <v>93</v>
      </c>
      <c r="D66" s="76">
        <v>50</v>
      </c>
      <c r="E66" s="76">
        <v>0.108</v>
      </c>
      <c r="F66" s="76"/>
      <c r="G66" s="76"/>
      <c r="H66" s="76"/>
      <c r="I66" s="76"/>
    </row>
    <row r="67" spans="1:9" x14ac:dyDescent="0.25">
      <c r="B67" s="76" t="s">
        <v>102</v>
      </c>
      <c r="C67" s="76" t="s">
        <v>94</v>
      </c>
      <c r="D67" s="76">
        <v>100</v>
      </c>
      <c r="E67" s="76">
        <v>0.13500000000000001</v>
      </c>
      <c r="F67" s="76">
        <v>2</v>
      </c>
      <c r="G67" s="76">
        <v>0.13700000000000001</v>
      </c>
      <c r="H67" s="76">
        <v>4.0000000000000001E-3</v>
      </c>
      <c r="I67" s="76">
        <v>2.6240000000000001</v>
      </c>
    </row>
    <row r="68" spans="1:9" x14ac:dyDescent="0.25">
      <c r="B68" s="76"/>
      <c r="C68" s="76" t="s">
        <v>95</v>
      </c>
      <c r="D68" s="76">
        <v>100</v>
      </c>
      <c r="E68" s="76">
        <v>0.14000000000000001</v>
      </c>
      <c r="F68" s="76"/>
      <c r="G68" s="76"/>
      <c r="H68" s="76"/>
      <c r="I68" s="76"/>
    </row>
    <row r="69" spans="1:9" x14ac:dyDescent="0.25">
      <c r="B69" s="76" t="s">
        <v>55</v>
      </c>
      <c r="C69" s="76" t="s">
        <v>66</v>
      </c>
      <c r="D69" s="76">
        <v>150</v>
      </c>
      <c r="E69" s="76">
        <v>0.214</v>
      </c>
      <c r="F69" s="76">
        <v>2</v>
      </c>
      <c r="G69" s="76">
        <v>0.214</v>
      </c>
      <c r="H69" s="76">
        <v>0</v>
      </c>
      <c r="I69" s="76">
        <v>0.16500000000000001</v>
      </c>
    </row>
    <row r="70" spans="1:9" x14ac:dyDescent="0.25">
      <c r="B70" s="76"/>
      <c r="C70" s="76" t="s">
        <v>67</v>
      </c>
      <c r="D70" s="76">
        <v>150</v>
      </c>
      <c r="E70" s="76">
        <v>0.214</v>
      </c>
      <c r="F70" s="76"/>
      <c r="G70" s="76"/>
      <c r="H70" s="76"/>
      <c r="I70" s="76"/>
    </row>
    <row r="71" spans="1:9" x14ac:dyDescent="0.25">
      <c r="B71" s="76" t="s">
        <v>134</v>
      </c>
      <c r="C71" s="76" t="s">
        <v>68</v>
      </c>
      <c r="D71" s="76">
        <v>200</v>
      </c>
      <c r="E71" s="76">
        <v>0.25800000000000001</v>
      </c>
      <c r="F71" s="76">
        <v>2</v>
      </c>
      <c r="G71" s="76">
        <v>0.27500000000000002</v>
      </c>
      <c r="H71" s="76">
        <v>2.5000000000000001E-2</v>
      </c>
      <c r="I71" s="76">
        <v>8.9619999999999997</v>
      </c>
    </row>
    <row r="72" spans="1:9" x14ac:dyDescent="0.25">
      <c r="B72" s="76"/>
      <c r="C72" s="76" t="s">
        <v>69</v>
      </c>
      <c r="D72" s="76">
        <v>200</v>
      </c>
      <c r="E72" s="76">
        <v>0.29299999999999998</v>
      </c>
      <c r="F72" s="76"/>
      <c r="G72" s="76"/>
      <c r="H72" s="76"/>
      <c r="I72" s="76"/>
    </row>
    <row r="74" spans="1:9" x14ac:dyDescent="0.25">
      <c r="A74" s="63" t="s">
        <v>104</v>
      </c>
      <c r="B74" s="64"/>
    </row>
    <row r="109" spans="1:7" ht="26.4" x14ac:dyDescent="0.25">
      <c r="A109" s="63" t="s">
        <v>105</v>
      </c>
      <c r="B109" s="64"/>
    </row>
    <row r="111" spans="1:7" ht="26.4" x14ac:dyDescent="0.25">
      <c r="B111" s="66" t="s">
        <v>106</v>
      </c>
      <c r="C111" s="66" t="s">
        <v>107</v>
      </c>
      <c r="D111" s="66" t="s">
        <v>35</v>
      </c>
      <c r="E111" s="66" t="s">
        <v>41</v>
      </c>
      <c r="F111" s="66" t="s">
        <v>108</v>
      </c>
      <c r="G111" s="66" t="s">
        <v>109</v>
      </c>
    </row>
    <row r="112" spans="1:7" x14ac:dyDescent="0.25">
      <c r="B112" s="76" t="s">
        <v>104</v>
      </c>
      <c r="C112" s="76" t="s">
        <v>110</v>
      </c>
      <c r="D112" s="76">
        <v>1.1299999999999999E-3</v>
      </c>
      <c r="E112" s="76">
        <v>4.3099999999999999E-2</v>
      </c>
      <c r="F112" s="76">
        <v>0.98899999999999999</v>
      </c>
      <c r="G112" s="76" t="s">
        <v>99</v>
      </c>
    </row>
    <row r="114" spans="1:10" x14ac:dyDescent="0.25">
      <c r="A114" s="63" t="s">
        <v>111</v>
      </c>
      <c r="B114" s="64"/>
    </row>
    <row r="115" spans="1:10" x14ac:dyDescent="0.25">
      <c r="A115" s="60" t="s">
        <v>59</v>
      </c>
      <c r="B115" s="60">
        <v>25.9</v>
      </c>
    </row>
    <row r="117" spans="1:10" ht="26.4" x14ac:dyDescent="0.25">
      <c r="B117" s="66" t="s">
        <v>39</v>
      </c>
      <c r="C117" s="66" t="s">
        <v>60</v>
      </c>
      <c r="D117" s="66" t="s">
        <v>40</v>
      </c>
      <c r="E117" s="66">
        <v>500</v>
      </c>
      <c r="F117" s="66" t="s">
        <v>111</v>
      </c>
      <c r="G117" s="66" t="s">
        <v>61</v>
      </c>
      <c r="H117" s="66" t="s">
        <v>4</v>
      </c>
      <c r="I117" s="66" t="s">
        <v>62</v>
      </c>
      <c r="J117" s="66" t="s">
        <v>63</v>
      </c>
    </row>
    <row r="118" spans="1:10" x14ac:dyDescent="0.25">
      <c r="B118" s="76" t="s">
        <v>36</v>
      </c>
      <c r="C118" s="76" t="s">
        <v>64</v>
      </c>
      <c r="D118" s="76"/>
      <c r="E118" s="76">
        <v>4.5999999999999999E-2</v>
      </c>
      <c r="F118" s="76">
        <v>2.6349999999999998</v>
      </c>
      <c r="G118" s="76">
        <v>2</v>
      </c>
      <c r="H118" s="76">
        <v>1.571</v>
      </c>
      <c r="I118" s="76">
        <v>1.5049999999999999</v>
      </c>
      <c r="J118" s="76">
        <v>95.82</v>
      </c>
    </row>
    <row r="119" spans="1:10" x14ac:dyDescent="0.25">
      <c r="B119" s="76"/>
      <c r="C119" s="76" t="s">
        <v>65</v>
      </c>
      <c r="D119" s="76"/>
      <c r="E119" s="76">
        <v>4.3999999999999997E-2</v>
      </c>
      <c r="F119" s="76">
        <v>0.50600000000000001</v>
      </c>
      <c r="G119" s="76"/>
      <c r="H119" s="76"/>
      <c r="I119" s="76"/>
      <c r="J119" s="76"/>
    </row>
    <row r="120" spans="1:10" x14ac:dyDescent="0.25">
      <c r="B120" s="76" t="s">
        <v>44</v>
      </c>
      <c r="C120" s="76" t="s">
        <v>70</v>
      </c>
      <c r="D120" s="76"/>
      <c r="E120" s="76">
        <v>0.16200000000000001</v>
      </c>
      <c r="F120" s="76">
        <v>105.68</v>
      </c>
      <c r="G120" s="76">
        <v>2</v>
      </c>
      <c r="H120" s="76">
        <v>104.97</v>
      </c>
      <c r="I120" s="76">
        <v>1.0029999999999999</v>
      </c>
      <c r="J120" s="76">
        <v>0.95599999999999996</v>
      </c>
    </row>
    <row r="121" spans="1:10" x14ac:dyDescent="0.25">
      <c r="B121" s="76"/>
      <c r="C121" s="76" t="s">
        <v>71</v>
      </c>
      <c r="D121" s="76"/>
      <c r="E121" s="76">
        <v>0.161</v>
      </c>
      <c r="F121" s="76">
        <v>104.261</v>
      </c>
      <c r="G121" s="76"/>
      <c r="H121" s="76"/>
      <c r="I121" s="76"/>
      <c r="J121" s="76"/>
    </row>
    <row r="122" spans="1:10" x14ac:dyDescent="0.25">
      <c r="B122" s="76" t="s">
        <v>50</v>
      </c>
      <c r="C122" s="76" t="s">
        <v>72</v>
      </c>
      <c r="D122" s="76"/>
      <c r="E122" s="76">
        <v>9.1999999999999998E-2</v>
      </c>
      <c r="F122" s="76">
        <v>43.072000000000003</v>
      </c>
      <c r="G122" s="76">
        <v>2</v>
      </c>
      <c r="H122" s="76">
        <v>43.072000000000003</v>
      </c>
      <c r="I122" s="76">
        <v>0</v>
      </c>
      <c r="J122" s="76">
        <v>0</v>
      </c>
    </row>
    <row r="123" spans="1:10" x14ac:dyDescent="0.25">
      <c r="B123" s="76"/>
      <c r="C123" s="76" t="s">
        <v>73</v>
      </c>
      <c r="D123" s="76"/>
      <c r="E123" s="76">
        <v>9.1999999999999998E-2</v>
      </c>
      <c r="F123" s="76">
        <v>43.072000000000003</v>
      </c>
      <c r="G123" s="76"/>
      <c r="H123" s="76"/>
      <c r="I123" s="76"/>
      <c r="J123" s="76"/>
    </row>
    <row r="124" spans="1:10" x14ac:dyDescent="0.25">
      <c r="B124" s="76" t="s">
        <v>56</v>
      </c>
      <c r="C124" s="76" t="s">
        <v>74</v>
      </c>
      <c r="D124" s="76"/>
      <c r="E124" s="76">
        <v>0.123</v>
      </c>
      <c r="F124" s="76">
        <v>70.739999999999995</v>
      </c>
      <c r="G124" s="76">
        <v>2</v>
      </c>
      <c r="H124" s="76">
        <v>76.549000000000007</v>
      </c>
      <c r="I124" s="76">
        <v>8.2140000000000004</v>
      </c>
      <c r="J124" s="76">
        <v>10.731</v>
      </c>
    </row>
    <row r="125" spans="1:10" x14ac:dyDescent="0.25">
      <c r="B125" s="76"/>
      <c r="C125" s="76" t="s">
        <v>75</v>
      </c>
      <c r="D125" s="76"/>
      <c r="E125" s="76">
        <v>0.13600000000000001</v>
      </c>
      <c r="F125" s="76">
        <v>82.356999999999999</v>
      </c>
      <c r="G125" s="76"/>
      <c r="H125" s="76"/>
      <c r="I125" s="76"/>
      <c r="J125" s="76"/>
    </row>
    <row r="126" spans="1:10" x14ac:dyDescent="0.25">
      <c r="B126" s="76" t="s">
        <v>37</v>
      </c>
      <c r="C126" s="76" t="s">
        <v>76</v>
      </c>
      <c r="D126" s="76"/>
      <c r="E126" s="76">
        <v>9.9000000000000005E-2</v>
      </c>
      <c r="F126" s="76">
        <v>49.634999999999998</v>
      </c>
      <c r="G126" s="76">
        <v>2</v>
      </c>
      <c r="H126" s="76">
        <v>47.018999999999998</v>
      </c>
      <c r="I126" s="76">
        <v>3.7</v>
      </c>
      <c r="J126" s="76">
        <v>7.8680000000000003</v>
      </c>
    </row>
    <row r="127" spans="1:10" x14ac:dyDescent="0.25">
      <c r="B127" s="76"/>
      <c r="C127" s="76" t="s">
        <v>77</v>
      </c>
      <c r="D127" s="76"/>
      <c r="E127" s="76">
        <v>9.2999999999999999E-2</v>
      </c>
      <c r="F127" s="76">
        <v>44.402999999999999</v>
      </c>
      <c r="G127" s="76"/>
      <c r="H127" s="76"/>
      <c r="I127" s="76"/>
      <c r="J127" s="76"/>
    </row>
    <row r="128" spans="1:10" x14ac:dyDescent="0.25">
      <c r="B128" s="76" t="s">
        <v>45</v>
      </c>
      <c r="C128" s="76" t="s">
        <v>78</v>
      </c>
      <c r="D128" s="76"/>
      <c r="E128" s="76">
        <v>0.252</v>
      </c>
      <c r="F128" s="76">
        <v>184.87</v>
      </c>
      <c r="G128" s="76">
        <v>2</v>
      </c>
      <c r="H128" s="76">
        <v>186.422</v>
      </c>
      <c r="I128" s="76">
        <v>2.1949999999999998</v>
      </c>
      <c r="J128" s="76">
        <v>1.177</v>
      </c>
    </row>
    <row r="129" spans="2:10" x14ac:dyDescent="0.25">
      <c r="B129" s="76"/>
      <c r="C129" s="76" t="s">
        <v>79</v>
      </c>
      <c r="D129" s="76"/>
      <c r="E129" s="76">
        <v>0.255</v>
      </c>
      <c r="F129" s="76">
        <v>187.97399999999999</v>
      </c>
      <c r="G129" s="76"/>
      <c r="H129" s="76"/>
      <c r="I129" s="76"/>
      <c r="J129" s="76"/>
    </row>
    <row r="130" spans="2:10" x14ac:dyDescent="0.25">
      <c r="B130" s="76" t="s">
        <v>98</v>
      </c>
      <c r="C130" s="76" t="s">
        <v>88</v>
      </c>
      <c r="D130" s="76">
        <v>0</v>
      </c>
      <c r="E130" s="76">
        <v>4.8000000000000001E-2</v>
      </c>
      <c r="F130" s="76">
        <v>4.1420000000000003</v>
      </c>
      <c r="G130" s="76">
        <v>2</v>
      </c>
      <c r="H130" s="76">
        <v>2.1030000000000002</v>
      </c>
      <c r="I130" s="76">
        <v>2.8839999999999999</v>
      </c>
      <c r="J130" s="76">
        <v>137.18199999999999</v>
      </c>
    </row>
    <row r="131" spans="2:10" x14ac:dyDescent="0.25">
      <c r="B131" s="76"/>
      <c r="C131" s="76" t="s">
        <v>89</v>
      </c>
      <c r="D131" s="76">
        <v>0</v>
      </c>
      <c r="E131" s="76">
        <v>4.2999999999999997E-2</v>
      </c>
      <c r="F131" s="76">
        <v>6.3E-2</v>
      </c>
      <c r="G131" s="76"/>
      <c r="H131" s="76"/>
      <c r="I131" s="76"/>
      <c r="J131" s="76"/>
    </row>
    <row r="132" spans="2:10" x14ac:dyDescent="0.25">
      <c r="B132" s="76" t="s">
        <v>43</v>
      </c>
      <c r="C132" s="76" t="s">
        <v>91</v>
      </c>
      <c r="D132" s="76">
        <v>12.5</v>
      </c>
      <c r="E132" s="76">
        <v>5.6000000000000001E-2</v>
      </c>
      <c r="F132" s="76">
        <v>11.68</v>
      </c>
      <c r="G132" s="76">
        <v>2</v>
      </c>
      <c r="H132" s="76">
        <v>15.093999999999999</v>
      </c>
      <c r="I132" s="76">
        <v>4.8280000000000003</v>
      </c>
      <c r="J132" s="76">
        <v>31.988</v>
      </c>
    </row>
    <row r="133" spans="2:10" x14ac:dyDescent="0.25">
      <c r="B133" s="76"/>
      <c r="C133" s="76" t="s">
        <v>90</v>
      </c>
      <c r="D133" s="76">
        <v>12.5</v>
      </c>
      <c r="E133" s="76">
        <v>6.4000000000000001E-2</v>
      </c>
      <c r="F133" s="76">
        <v>18.507999999999999</v>
      </c>
      <c r="G133" s="76"/>
      <c r="H133" s="76"/>
      <c r="I133" s="76"/>
      <c r="J133" s="76"/>
    </row>
    <row r="134" spans="2:10" x14ac:dyDescent="0.25">
      <c r="B134" s="76" t="s">
        <v>49</v>
      </c>
      <c r="C134" s="76" t="s">
        <v>92</v>
      </c>
      <c r="D134" s="76">
        <v>50</v>
      </c>
      <c r="E134" s="76">
        <v>0.10199999999999999</v>
      </c>
      <c r="F134" s="76">
        <v>51.762999999999998</v>
      </c>
      <c r="G134" s="76">
        <v>2</v>
      </c>
      <c r="H134" s="76">
        <v>54.423000000000002</v>
      </c>
      <c r="I134" s="76">
        <v>3.762</v>
      </c>
      <c r="J134" s="76">
        <v>6.9130000000000003</v>
      </c>
    </row>
    <row r="135" spans="2:10" x14ac:dyDescent="0.25">
      <c r="B135" s="76"/>
      <c r="C135" s="76" t="s">
        <v>93</v>
      </c>
      <c r="D135" s="76">
        <v>50</v>
      </c>
      <c r="E135" s="76">
        <v>0.108</v>
      </c>
      <c r="F135" s="76">
        <v>57.084000000000003</v>
      </c>
      <c r="G135" s="76"/>
      <c r="H135" s="76"/>
      <c r="I135" s="76"/>
      <c r="J135" s="76"/>
    </row>
    <row r="136" spans="2:10" x14ac:dyDescent="0.25">
      <c r="B136" s="76" t="s">
        <v>102</v>
      </c>
      <c r="C136" s="76" t="s">
        <v>94</v>
      </c>
      <c r="D136" s="76">
        <v>100</v>
      </c>
      <c r="E136" s="76">
        <v>0.13500000000000001</v>
      </c>
      <c r="F136" s="76">
        <v>81.382000000000005</v>
      </c>
      <c r="G136" s="76">
        <v>2</v>
      </c>
      <c r="H136" s="76">
        <v>83.643000000000001</v>
      </c>
      <c r="I136" s="76">
        <v>3.198</v>
      </c>
      <c r="J136" s="76">
        <v>3.823</v>
      </c>
    </row>
    <row r="137" spans="2:10" x14ac:dyDescent="0.25">
      <c r="B137" s="76"/>
      <c r="C137" s="76" t="s">
        <v>95</v>
      </c>
      <c r="D137" s="76">
        <v>100</v>
      </c>
      <c r="E137" s="76">
        <v>0.14000000000000001</v>
      </c>
      <c r="F137" s="76">
        <v>85.903999999999996</v>
      </c>
      <c r="G137" s="76"/>
      <c r="H137" s="76"/>
      <c r="I137" s="76"/>
      <c r="J137" s="76"/>
    </row>
    <row r="138" spans="2:10" x14ac:dyDescent="0.25">
      <c r="B138" s="76" t="s">
        <v>55</v>
      </c>
      <c r="C138" s="76" t="s">
        <v>66</v>
      </c>
      <c r="D138" s="76">
        <v>150</v>
      </c>
      <c r="E138" s="76">
        <v>0.214</v>
      </c>
      <c r="F138" s="76">
        <v>151.084</v>
      </c>
      <c r="G138" s="76">
        <v>2</v>
      </c>
      <c r="H138" s="76">
        <v>151.30500000000001</v>
      </c>
      <c r="I138" s="76">
        <v>0.314</v>
      </c>
      <c r="J138" s="76">
        <v>0.20699999999999999</v>
      </c>
    </row>
    <row r="139" spans="2:10" x14ac:dyDescent="0.25">
      <c r="B139" s="76"/>
      <c r="C139" s="76" t="s">
        <v>67</v>
      </c>
      <c r="D139" s="76">
        <v>150</v>
      </c>
      <c r="E139" s="76">
        <v>0.214</v>
      </c>
      <c r="F139" s="76">
        <v>151.52699999999999</v>
      </c>
      <c r="G139" s="76"/>
      <c r="H139" s="76"/>
      <c r="I139" s="76"/>
      <c r="J139" s="76"/>
    </row>
    <row r="140" spans="2:10" x14ac:dyDescent="0.25">
      <c r="B140" s="76" t="s">
        <v>134</v>
      </c>
      <c r="C140" s="76" t="s">
        <v>68</v>
      </c>
      <c r="D140" s="76">
        <v>200</v>
      </c>
      <c r="E140" s="76">
        <v>0.25800000000000001</v>
      </c>
      <c r="F140" s="76">
        <v>190.45699999999999</v>
      </c>
      <c r="G140" s="76">
        <v>1</v>
      </c>
      <c r="H140" s="76">
        <v>190.45699999999999</v>
      </c>
      <c r="I140" s="76" t="s">
        <v>99</v>
      </c>
      <c r="J140" s="76" t="s">
        <v>99</v>
      </c>
    </row>
    <row r="141" spans="2:10" x14ac:dyDescent="0.25">
      <c r="B141" s="76"/>
      <c r="C141" s="76" t="s">
        <v>69</v>
      </c>
      <c r="D141" s="76">
        <v>200</v>
      </c>
      <c r="E141" s="76">
        <v>0.29299999999999998</v>
      </c>
      <c r="F141" s="76" t="s">
        <v>155</v>
      </c>
      <c r="G141" s="76"/>
      <c r="H141" s="76"/>
      <c r="I141" s="76"/>
      <c r="J141" s="76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EBCF-05EC-4227-84EA-F329FBB2A9AE}">
  <dimension ref="A1:AA1000"/>
  <sheetViews>
    <sheetView zoomScale="69" zoomScaleNormal="50" workbookViewId="0">
      <selection activeCell="C2" sqref="C2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TRIG_11_07_24_RawData!E118</f>
        <v>4.5999999999999999E-2</v>
      </c>
      <c r="C2" s="20">
        <f>AVERAGE(B2,B3)</f>
        <v>4.4999999999999998E-2</v>
      </c>
      <c r="D2" s="20">
        <f>100*(STDEV(B2,B3)/C2)</f>
        <v>3.1426968052735473</v>
      </c>
      <c r="E2" s="1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5.0000000000000044E-4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TRIG_11_07_24_RawData!E119</f>
        <v>4.3999999999999997E-2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1.4999999999999999E-2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TRIG_11_07_24_RawData!E130</f>
        <v>4.8000000000000001E-2</v>
      </c>
      <c r="C4" s="20">
        <f>AVERAGE(B4,B5)</f>
        <v>4.5499999999999999E-2</v>
      </c>
      <c r="D4" s="20">
        <f>100*(STDEV(B4,B5)/C4)</f>
        <v>7.770404188863167</v>
      </c>
      <c r="E4" s="19"/>
      <c r="F4" s="20">
        <f>C4-$C$2</f>
        <v>5.0000000000000044E-4</v>
      </c>
      <c r="G4" s="19"/>
      <c r="H4" s="20">
        <v>0</v>
      </c>
      <c r="I4" s="19"/>
      <c r="J4" s="19"/>
      <c r="K4" s="21">
        <v>50</v>
      </c>
      <c r="L4" s="20">
        <f>F8</f>
        <v>0.06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TRIG_11_07_24_RawData!E131</f>
        <v>4.2999999999999997E-2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9.2500000000000013E-2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TRIG_11_07_24_RawData!E132</f>
        <v>5.6000000000000001E-2</v>
      </c>
      <c r="C6" s="20">
        <f>AVERAGE(B6,B7)</f>
        <v>0.06</v>
      </c>
      <c r="D6" s="20">
        <f>100*(STDEV(B6,B7)/C6)</f>
        <v>9.4280904158206358</v>
      </c>
      <c r="E6" s="19"/>
      <c r="F6" s="20">
        <f>C6-$C$2</f>
        <v>1.4999999999999999E-2</v>
      </c>
      <c r="G6" s="19"/>
      <c r="H6" s="20">
        <v>12.5</v>
      </c>
      <c r="I6" s="19"/>
      <c r="J6" s="19"/>
      <c r="K6" s="21">
        <v>150</v>
      </c>
      <c r="L6" s="20">
        <f>F12</f>
        <v>0.16899999999999998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TRIG_11_07_24_RawData!E133</f>
        <v>6.4000000000000001E-2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0.23049999999999998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TRIG_11_07_24_RawData!E134</f>
        <v>0.10199999999999999</v>
      </c>
      <c r="C8" s="20">
        <f>AVERAGE(B8,B9)</f>
        <v>0.105</v>
      </c>
      <c r="D8" s="20">
        <f>100*(STDEV(B8,B9)/C8)</f>
        <v>4.0406101782088468</v>
      </c>
      <c r="E8" s="19"/>
      <c r="F8" s="20">
        <f>C8-$C$2</f>
        <v>0.06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TRIG_11_07_24_RawData!E135</f>
        <v>0.108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1.1000000000000001E-3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TRIG_11_07_24_RawData!E136</f>
        <v>0.13500000000000001</v>
      </c>
      <c r="C10" s="20">
        <f>AVERAGE(B10,B11)</f>
        <v>0.13750000000000001</v>
      </c>
      <c r="D10" s="20">
        <f>100*(STDEV(B10,B11)/C10)</f>
        <v>2.571297386132902</v>
      </c>
      <c r="E10" s="19"/>
      <c r="F10" s="20">
        <f>C10-$C$2</f>
        <v>9.2500000000000013E-2</v>
      </c>
      <c r="G10" s="19"/>
      <c r="H10" s="20">
        <v>100</v>
      </c>
      <c r="I10" s="19"/>
      <c r="J10" s="20"/>
      <c r="K10" s="18" t="s">
        <v>15</v>
      </c>
      <c r="L10" s="20">
        <v>1.8E-3</v>
      </c>
      <c r="M10" s="20"/>
    </row>
    <row r="11" spans="1:26" ht="15.75" customHeight="1" x14ac:dyDescent="0.3">
      <c r="A11" s="20" t="s">
        <v>160</v>
      </c>
      <c r="B11" s="20">
        <f>TRIG_11_07_24_RawData!E137</f>
        <v>0.14000000000000001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TRIG_11_07_24_RawData!E138</f>
        <v>0.214</v>
      </c>
      <c r="C12" s="20">
        <f>AVERAGE(B12,B13)</f>
        <v>0.214</v>
      </c>
      <c r="D12" s="20">
        <f>100*(STDEV(B12,B13)/C12)</f>
        <v>0</v>
      </c>
      <c r="E12" s="19"/>
      <c r="F12" s="20">
        <f>C12-$C$2</f>
        <v>0.16899999999999998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TRIG_11_07_24_RawData!E139</f>
        <v>0.214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TRIG_11_07_24_RawData!E140</f>
        <v>0.25800000000000001</v>
      </c>
      <c r="C14" s="20">
        <f>AVERAGE(B14,B15)</f>
        <v>0.27549999999999997</v>
      </c>
      <c r="D14" s="20">
        <f>100*(STDEV(B14,B15)/C14)</f>
        <v>8.9832077464715603</v>
      </c>
      <c r="E14" s="19"/>
      <c r="F14" s="20">
        <f>C14-$C$2</f>
        <v>0.23049999999999998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TRIG_11_07_24_RawData!E141</f>
        <v>0.29299999999999998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TRIG_11_07_24_RawData!E120</f>
        <v>0.16200000000000001</v>
      </c>
      <c r="C21" s="24">
        <f>AVERAGE(B21,B22)</f>
        <v>0.1615</v>
      </c>
      <c r="D21" s="24">
        <f>100*(STDEV(B21,B22)/C21)</f>
        <v>0.43783701621458093</v>
      </c>
      <c r="E21" s="24">
        <f>C21-$C$2</f>
        <v>0.11650000000000001</v>
      </c>
      <c r="F21" s="24">
        <f>(E21-$L$10)/$L$9</f>
        <v>104.27272727272728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TRIG_11_07_24_RawData!E121</f>
        <v>0.161</v>
      </c>
      <c r="C22" s="24"/>
      <c r="D22" s="24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29" t="s">
        <v>171</v>
      </c>
      <c r="B23" s="20">
        <f>TRIG_11_07_24_RawData!E122</f>
        <v>9.1999999999999998E-2</v>
      </c>
      <c r="C23" s="24">
        <f>AVERAGE(B23,B24)</f>
        <v>9.1999999999999998E-2</v>
      </c>
      <c r="D23" s="24">
        <f>100*(STDEV(B23,B24)/C23)</f>
        <v>0</v>
      </c>
      <c r="E23" s="24">
        <f>C23-$C$2</f>
        <v>4.7E-2</v>
      </c>
      <c r="F23" s="24">
        <f>(E23-$L$10)/$L$9</f>
        <v>41.090909090909086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24"/>
      <c r="B24" s="20">
        <f>TRIG_11_07_24_RawData!E123</f>
        <v>9.1999999999999998E-2</v>
      </c>
      <c r="C24" s="24"/>
      <c r="D24" s="24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29" t="s">
        <v>192</v>
      </c>
      <c r="B25" s="20">
        <f>TRIG_11_07_24_RawData!E124</f>
        <v>0.123</v>
      </c>
      <c r="C25" s="25">
        <f>AVERAGE(B25,B26)</f>
        <v>0.1295</v>
      </c>
      <c r="D25" s="25">
        <f>100*(STDEV(B25,B26)/C25)</f>
        <v>7.0983692319885145</v>
      </c>
      <c r="E25" s="25">
        <f>C25-$C$2</f>
        <v>8.4500000000000006E-2</v>
      </c>
      <c r="F25" s="25">
        <f>(E25-$L$10)/$L$9</f>
        <v>75.181818181818187</v>
      </c>
      <c r="G25" t="s">
        <v>177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24"/>
      <c r="B26" s="20">
        <f>TRIG_11_07_24_RawData!E125</f>
        <v>0.13600000000000001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55" t="s">
        <v>121</v>
      </c>
      <c r="B27" s="20">
        <f>TRIG_11_07_24_RawData!E126</f>
        <v>9.9000000000000005E-2</v>
      </c>
      <c r="C27" s="24">
        <f>AVERAGE(B27,B28)</f>
        <v>9.6000000000000002E-2</v>
      </c>
      <c r="D27" s="25">
        <f>100*(STDEV(B27,B28)/C27)</f>
        <v>4.4194173824159266</v>
      </c>
      <c r="E27" s="24">
        <f>C27-$C$2</f>
        <v>5.1000000000000004E-2</v>
      </c>
      <c r="F27" s="24">
        <f>(E27-$L$10)/$L$9</f>
        <v>44.727272727272727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24"/>
      <c r="B28" s="20">
        <f>TRIG_11_07_24_RawData!E127</f>
        <v>9.2999999999999999E-2</v>
      </c>
      <c r="C28" s="24"/>
      <c r="D28" s="24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0" t="s">
        <v>163</v>
      </c>
      <c r="B29" s="20">
        <f>TRIG_11_07_24_RawData!E128</f>
        <v>0.252</v>
      </c>
      <c r="C29" s="25">
        <f>AVERAGE(B29,B30)</f>
        <v>0.2535</v>
      </c>
      <c r="D29" s="25">
        <f>100*(STDEV(B29,B30)/C29)</f>
        <v>0.83681275880064865</v>
      </c>
      <c r="E29" s="24">
        <f>C29-$C$2</f>
        <v>0.20850000000000002</v>
      </c>
      <c r="F29" s="24">
        <f>(E29-$L$10)/$L$9</f>
        <v>187.90909090909091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25"/>
      <c r="B30" s="20">
        <f>TRIG_11_07_24_RawData!E129</f>
        <v>0.255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8:26" ht="15.75" customHeight="1" x14ac:dyDescent="0.3"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8:26" ht="15.75" customHeight="1" x14ac:dyDescent="0.3"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8:26" ht="15.75" customHeight="1" x14ac:dyDescent="0.3"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8:26" ht="15.75" customHeight="1" x14ac:dyDescent="0.3"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8:26" ht="15.75" customHeight="1" x14ac:dyDescent="0.3"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8:26" ht="15.75" customHeight="1" x14ac:dyDescent="0.3"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8:26" ht="15.75" customHeight="1" x14ac:dyDescent="0.3"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8:26" ht="15.75" customHeight="1" x14ac:dyDescent="0.3"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8:26" ht="15.75" customHeight="1" x14ac:dyDescent="0.3"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8:26" ht="15.75" customHeight="1" x14ac:dyDescent="0.3"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8:26" ht="15.75" customHeight="1" x14ac:dyDescent="0.3"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8:26" ht="15.75" customHeight="1" x14ac:dyDescent="0.3"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8:26" ht="15.75" customHeight="1" x14ac:dyDescent="0.3"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8:26" ht="15.75" customHeight="1" x14ac:dyDescent="0.3"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8:26" ht="15.75" customHeight="1" x14ac:dyDescent="0.3"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8:26" ht="15.75" customHeight="1" x14ac:dyDescent="0.3"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8:27" ht="15.75" customHeight="1" x14ac:dyDescent="0.3"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8:27" ht="15.75" customHeight="1" x14ac:dyDescent="0.3"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8:27" ht="15.75" customHeight="1" x14ac:dyDescent="0.3"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8:27" ht="15.75" customHeight="1" x14ac:dyDescent="0.3"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8:27" ht="15.75" customHeight="1" x14ac:dyDescent="0.3"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8:27" ht="15.75" customHeight="1" x14ac:dyDescent="0.3"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8:27" ht="15.75" customHeight="1" x14ac:dyDescent="0.3"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8:27" ht="15.75" customHeight="1" x14ac:dyDescent="0.3"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8:27" ht="15.75" customHeight="1" x14ac:dyDescent="0.3"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8:27" ht="15.75" customHeight="1" x14ac:dyDescent="0.3"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8:27" ht="15.75" customHeight="1" x14ac:dyDescent="0.3"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8:27" ht="15.75" customHeight="1" x14ac:dyDescent="0.3"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8:27" ht="15.75" customHeight="1" x14ac:dyDescent="0.3"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8:27" ht="15.75" customHeight="1" x14ac:dyDescent="0.3"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8:27" ht="15.75" customHeight="1" x14ac:dyDescent="0.3"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8:27" ht="15.75" customHeight="1" x14ac:dyDescent="0.3"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8:26" ht="15.75" customHeight="1" x14ac:dyDescent="0.3"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8:26" ht="15.75" customHeight="1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8:26" ht="15.75" customHeight="1" x14ac:dyDescent="0.3"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8:26" ht="15.75" customHeight="1" x14ac:dyDescent="0.3"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8:26" ht="15.75" customHeight="1" x14ac:dyDescent="0.3"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8:26" ht="15.75" customHeight="1" x14ac:dyDescent="0.3"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8:26" ht="15.75" customHeight="1" x14ac:dyDescent="0.3"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8:26" ht="15.75" customHeight="1" x14ac:dyDescent="0.3"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8:26" ht="15.75" customHeight="1" x14ac:dyDescent="0.3"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8:26" ht="15.75" customHeight="1" x14ac:dyDescent="0.3"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8:26" ht="15.75" customHeight="1" x14ac:dyDescent="0.3"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8:26" ht="15.75" customHeight="1" x14ac:dyDescent="0.3"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8:26" ht="15.75" customHeight="1" x14ac:dyDescent="0.3"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8:26" ht="15.75" customHeight="1" x14ac:dyDescent="0.3"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8:26" ht="15.75" customHeight="1" x14ac:dyDescent="0.3"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8:26" ht="15.75" customHeight="1" x14ac:dyDescent="0.3"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8:26" ht="15.75" customHeight="1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8:26" ht="15.75" customHeight="1" x14ac:dyDescent="0.3"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8:26" ht="15.75" customHeight="1" x14ac:dyDescent="0.3"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8:26" ht="15.75" customHeight="1" x14ac:dyDescent="0.3"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8:26" ht="15.75" customHeight="1" x14ac:dyDescent="0.3"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8:26" ht="15.75" customHeight="1" x14ac:dyDescent="0.3"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8:26" ht="15.75" customHeight="1" x14ac:dyDescent="0.3"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8:26" ht="15.75" customHeight="1" x14ac:dyDescent="0.3"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8:26" ht="15.75" customHeight="1" x14ac:dyDescent="0.3"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8:26" ht="15.75" customHeight="1" x14ac:dyDescent="0.3"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8:26" ht="15.75" customHeight="1" x14ac:dyDescent="0.3"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8:26" ht="15.75" customHeight="1" x14ac:dyDescent="0.3"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8:26" ht="15.75" customHeight="1" x14ac:dyDescent="0.3"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8:26" ht="15.75" customHeight="1" x14ac:dyDescent="0.3"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8:26" ht="15.75" customHeight="1" x14ac:dyDescent="0.3"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8:26" ht="15.75" customHeight="1" x14ac:dyDescent="0.3"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0911-178C-4C74-BB84-451EF19A7ECE}">
  <dimension ref="A2:O185"/>
  <sheetViews>
    <sheetView topLeftCell="A19" zoomScale="56" workbookViewId="0">
      <selection activeCell="A114" sqref="A114"/>
    </sheetView>
  </sheetViews>
  <sheetFormatPr defaultRowHeight="13.2" x14ac:dyDescent="0.25"/>
  <cols>
    <col min="1" max="1" width="18.59765625" style="40" customWidth="1"/>
    <col min="2" max="2" width="11.3984375" style="40" customWidth="1"/>
    <col min="3" max="16384" width="8.796875" style="40"/>
  </cols>
  <sheetData>
    <row r="2" spans="1:2" x14ac:dyDescent="0.25">
      <c r="A2" s="40" t="s">
        <v>16</v>
      </c>
      <c r="B2" s="40" t="s">
        <v>17</v>
      </c>
    </row>
    <row r="4" spans="1:2" x14ac:dyDescent="0.25">
      <c r="A4" s="40" t="s">
        <v>18</v>
      </c>
    </row>
    <row r="5" spans="1:2" x14ac:dyDescent="0.25">
      <c r="A5" s="40" t="s">
        <v>19</v>
      </c>
    </row>
    <row r="6" spans="1:2" x14ac:dyDescent="0.25">
      <c r="A6" s="40" t="s">
        <v>20</v>
      </c>
      <c r="B6" s="40" t="s">
        <v>21</v>
      </c>
    </row>
    <row r="7" spans="1:2" x14ac:dyDescent="0.25">
      <c r="A7" s="40" t="s">
        <v>1</v>
      </c>
      <c r="B7" s="41">
        <v>45589</v>
      </c>
    </row>
    <row r="8" spans="1:2" x14ac:dyDescent="0.25">
      <c r="A8" s="40" t="s">
        <v>22</v>
      </c>
      <c r="B8" s="42">
        <v>0.72211805555555564</v>
      </c>
    </row>
    <row r="9" spans="1:2" x14ac:dyDescent="0.25">
      <c r="A9" s="40" t="s">
        <v>23</v>
      </c>
      <c r="B9" s="40" t="s">
        <v>101</v>
      </c>
    </row>
    <row r="10" spans="1:2" x14ac:dyDescent="0.25">
      <c r="A10" s="40" t="s">
        <v>24</v>
      </c>
      <c r="B10" s="40">
        <v>13081218</v>
      </c>
    </row>
    <row r="11" spans="1:2" x14ac:dyDescent="0.25">
      <c r="A11" s="40" t="s">
        <v>25</v>
      </c>
      <c r="B11" s="40" t="s">
        <v>26</v>
      </c>
    </row>
    <row r="13" spans="1:2" x14ac:dyDescent="0.25">
      <c r="A13" s="43" t="s">
        <v>27</v>
      </c>
      <c r="B13" s="44"/>
    </row>
    <row r="14" spans="1:2" x14ac:dyDescent="0.25">
      <c r="A14" s="40" t="s">
        <v>28</v>
      </c>
      <c r="B14" s="40" t="s">
        <v>29</v>
      </c>
    </row>
    <row r="15" spans="1:2" x14ac:dyDescent="0.25">
      <c r="A15" s="40" t="s">
        <v>30</v>
      </c>
    </row>
    <row r="16" spans="1:2" x14ac:dyDescent="0.25">
      <c r="A16" s="40" t="s">
        <v>31</v>
      </c>
      <c r="B16" s="40" t="s">
        <v>32</v>
      </c>
    </row>
    <row r="17" spans="1:15" x14ac:dyDescent="0.25">
      <c r="B17" s="40" t="s">
        <v>33</v>
      </c>
    </row>
    <row r="18" spans="1:15" x14ac:dyDescent="0.25">
      <c r="B18" s="40" t="s">
        <v>96</v>
      </c>
    </row>
    <row r="19" spans="1:15" x14ac:dyDescent="0.25">
      <c r="B19" s="40" t="s">
        <v>97</v>
      </c>
    </row>
    <row r="21" spans="1:15" x14ac:dyDescent="0.25">
      <c r="A21" s="43" t="s">
        <v>34</v>
      </c>
      <c r="B21" s="44"/>
    </row>
    <row r="23" spans="1:15" x14ac:dyDescent="0.25">
      <c r="B23" s="45"/>
      <c r="C23" s="46">
        <v>1</v>
      </c>
      <c r="D23" s="46">
        <v>2</v>
      </c>
      <c r="E23" s="46">
        <v>3</v>
      </c>
      <c r="F23" s="46">
        <v>4</v>
      </c>
      <c r="G23" s="46">
        <v>5</v>
      </c>
      <c r="H23" s="46">
        <v>6</v>
      </c>
      <c r="I23" s="46">
        <v>7</v>
      </c>
      <c r="J23" s="46">
        <v>8</v>
      </c>
      <c r="K23" s="46">
        <v>9</v>
      </c>
      <c r="L23" s="46">
        <v>10</v>
      </c>
      <c r="M23" s="46">
        <v>11</v>
      </c>
      <c r="N23" s="46">
        <v>12</v>
      </c>
    </row>
    <row r="24" spans="1:15" x14ac:dyDescent="0.25">
      <c r="B24" s="97" t="s">
        <v>35</v>
      </c>
      <c r="C24" s="47"/>
      <c r="D24" s="48" t="s">
        <v>102</v>
      </c>
      <c r="E24" s="49" t="s">
        <v>50</v>
      </c>
      <c r="F24" s="49" t="s">
        <v>51</v>
      </c>
      <c r="G24" s="49" t="s">
        <v>52</v>
      </c>
      <c r="H24" s="49" t="s">
        <v>131</v>
      </c>
      <c r="I24" s="47"/>
      <c r="J24" s="47"/>
      <c r="K24" s="47"/>
      <c r="L24" s="47"/>
      <c r="M24" s="47"/>
      <c r="N24" s="47"/>
      <c r="O24" s="50" t="s">
        <v>39</v>
      </c>
    </row>
    <row r="25" spans="1:15" x14ac:dyDescent="0.25">
      <c r="B25" s="98"/>
      <c r="C25" s="51"/>
      <c r="D25" s="52">
        <v>100</v>
      </c>
      <c r="E25" s="53"/>
      <c r="F25" s="53"/>
      <c r="G25" s="53"/>
      <c r="H25" s="53"/>
      <c r="I25" s="51"/>
      <c r="J25" s="51"/>
      <c r="K25" s="51"/>
      <c r="L25" s="51"/>
      <c r="M25" s="51"/>
      <c r="N25" s="51"/>
      <c r="O25" s="50" t="s">
        <v>40</v>
      </c>
    </row>
    <row r="26" spans="1:15" x14ac:dyDescent="0.25">
      <c r="B26" s="97" t="s">
        <v>41</v>
      </c>
      <c r="C26" s="47"/>
      <c r="D26" s="48" t="s">
        <v>102</v>
      </c>
      <c r="E26" s="49" t="s">
        <v>50</v>
      </c>
      <c r="F26" s="49" t="s">
        <v>51</v>
      </c>
      <c r="G26" s="49" t="s">
        <v>52</v>
      </c>
      <c r="H26" s="49" t="s">
        <v>131</v>
      </c>
      <c r="I26" s="47"/>
      <c r="J26" s="47"/>
      <c r="K26" s="47"/>
      <c r="L26" s="47"/>
      <c r="M26" s="47"/>
      <c r="N26" s="47"/>
      <c r="O26" s="50" t="s">
        <v>39</v>
      </c>
    </row>
    <row r="27" spans="1:15" x14ac:dyDescent="0.25">
      <c r="B27" s="98"/>
      <c r="C27" s="51"/>
      <c r="D27" s="52">
        <v>100</v>
      </c>
      <c r="E27" s="53"/>
      <c r="F27" s="53"/>
      <c r="G27" s="53"/>
      <c r="H27" s="53"/>
      <c r="I27" s="51"/>
      <c r="J27" s="51"/>
      <c r="K27" s="51"/>
      <c r="L27" s="51"/>
      <c r="M27" s="51"/>
      <c r="N27" s="51"/>
      <c r="O27" s="50" t="s">
        <v>40</v>
      </c>
    </row>
    <row r="28" spans="1:15" x14ac:dyDescent="0.25">
      <c r="B28" s="97" t="s">
        <v>42</v>
      </c>
      <c r="C28" s="48" t="s">
        <v>98</v>
      </c>
      <c r="D28" s="48" t="s">
        <v>55</v>
      </c>
      <c r="E28" s="49" t="s">
        <v>56</v>
      </c>
      <c r="F28" s="49" t="s">
        <v>57</v>
      </c>
      <c r="G28" s="49" t="s">
        <v>132</v>
      </c>
      <c r="H28" s="49" t="s">
        <v>133</v>
      </c>
      <c r="I28" s="47"/>
      <c r="J28" s="47"/>
      <c r="K28" s="47"/>
      <c r="L28" s="47"/>
      <c r="M28" s="47"/>
      <c r="N28" s="47"/>
      <c r="O28" s="50" t="s">
        <v>39</v>
      </c>
    </row>
    <row r="29" spans="1:15" x14ac:dyDescent="0.25">
      <c r="B29" s="98"/>
      <c r="C29" s="52">
        <v>0</v>
      </c>
      <c r="D29" s="52">
        <v>150</v>
      </c>
      <c r="E29" s="53"/>
      <c r="F29" s="53"/>
      <c r="G29" s="53"/>
      <c r="H29" s="53"/>
      <c r="I29" s="51"/>
      <c r="J29" s="51"/>
      <c r="K29" s="51"/>
      <c r="L29" s="51"/>
      <c r="M29" s="51"/>
      <c r="N29" s="51"/>
      <c r="O29" s="50" t="s">
        <v>40</v>
      </c>
    </row>
    <row r="30" spans="1:15" x14ac:dyDescent="0.25">
      <c r="B30" s="97" t="s">
        <v>47</v>
      </c>
      <c r="C30" s="48" t="s">
        <v>98</v>
      </c>
      <c r="D30" s="48" t="s">
        <v>55</v>
      </c>
      <c r="E30" s="49" t="s">
        <v>56</v>
      </c>
      <c r="F30" s="49" t="s">
        <v>57</v>
      </c>
      <c r="G30" s="49" t="s">
        <v>132</v>
      </c>
      <c r="H30" s="49" t="s">
        <v>133</v>
      </c>
      <c r="I30" s="47"/>
      <c r="J30" s="47"/>
      <c r="K30" s="47"/>
      <c r="L30" s="47"/>
      <c r="M30" s="47"/>
      <c r="N30" s="47"/>
      <c r="O30" s="50" t="s">
        <v>39</v>
      </c>
    </row>
    <row r="31" spans="1:15" x14ac:dyDescent="0.25">
      <c r="B31" s="98"/>
      <c r="C31" s="52">
        <v>0</v>
      </c>
      <c r="D31" s="52">
        <v>150</v>
      </c>
      <c r="E31" s="53"/>
      <c r="F31" s="53"/>
      <c r="G31" s="53"/>
      <c r="H31" s="53"/>
      <c r="I31" s="51"/>
      <c r="J31" s="51"/>
      <c r="K31" s="51"/>
      <c r="L31" s="51"/>
      <c r="M31" s="51"/>
      <c r="N31" s="51"/>
      <c r="O31" s="50" t="s">
        <v>40</v>
      </c>
    </row>
    <row r="32" spans="1:15" x14ac:dyDescent="0.25">
      <c r="B32" s="97" t="s">
        <v>48</v>
      </c>
      <c r="C32" s="48" t="s">
        <v>43</v>
      </c>
      <c r="D32" s="48" t="s">
        <v>134</v>
      </c>
      <c r="E32" s="49" t="s">
        <v>37</v>
      </c>
      <c r="F32" s="49" t="s">
        <v>38</v>
      </c>
      <c r="G32" s="49" t="s">
        <v>135</v>
      </c>
      <c r="H32" s="49" t="s">
        <v>136</v>
      </c>
      <c r="I32" s="47"/>
      <c r="J32" s="47"/>
      <c r="K32" s="47"/>
      <c r="L32" s="47"/>
      <c r="M32" s="47"/>
      <c r="N32" s="47"/>
      <c r="O32" s="50" t="s">
        <v>39</v>
      </c>
    </row>
    <row r="33" spans="1:15" x14ac:dyDescent="0.25">
      <c r="B33" s="98"/>
      <c r="C33" s="52">
        <v>12.5</v>
      </c>
      <c r="D33" s="52">
        <v>200</v>
      </c>
      <c r="E33" s="53"/>
      <c r="F33" s="53"/>
      <c r="G33" s="53"/>
      <c r="H33" s="53"/>
      <c r="I33" s="51"/>
      <c r="J33" s="51"/>
      <c r="K33" s="51"/>
      <c r="L33" s="51"/>
      <c r="M33" s="51"/>
      <c r="N33" s="51"/>
      <c r="O33" s="50" t="s">
        <v>40</v>
      </c>
    </row>
    <row r="34" spans="1:15" x14ac:dyDescent="0.25">
      <c r="B34" s="97" t="s">
        <v>53</v>
      </c>
      <c r="C34" s="48" t="s">
        <v>43</v>
      </c>
      <c r="D34" s="48" t="s">
        <v>134</v>
      </c>
      <c r="E34" s="49" t="s">
        <v>37</v>
      </c>
      <c r="F34" s="49" t="s">
        <v>38</v>
      </c>
      <c r="G34" s="49" t="s">
        <v>135</v>
      </c>
      <c r="H34" s="49" t="s">
        <v>136</v>
      </c>
      <c r="I34" s="47"/>
      <c r="J34" s="47"/>
      <c r="K34" s="47"/>
      <c r="L34" s="47"/>
      <c r="M34" s="47"/>
      <c r="N34" s="47"/>
      <c r="O34" s="50" t="s">
        <v>39</v>
      </c>
    </row>
    <row r="35" spans="1:15" x14ac:dyDescent="0.25">
      <c r="B35" s="98"/>
      <c r="C35" s="52">
        <v>12.5</v>
      </c>
      <c r="D35" s="52">
        <v>200</v>
      </c>
      <c r="E35" s="53"/>
      <c r="F35" s="53"/>
      <c r="G35" s="53"/>
      <c r="H35" s="53"/>
      <c r="I35" s="51"/>
      <c r="J35" s="51"/>
      <c r="K35" s="51"/>
      <c r="L35" s="51"/>
      <c r="M35" s="51"/>
      <c r="N35" s="51"/>
      <c r="O35" s="50" t="s">
        <v>40</v>
      </c>
    </row>
    <row r="36" spans="1:15" x14ac:dyDescent="0.25">
      <c r="B36" s="97" t="s">
        <v>54</v>
      </c>
      <c r="C36" s="48" t="s">
        <v>49</v>
      </c>
      <c r="D36" s="49" t="s">
        <v>44</v>
      </c>
      <c r="E36" s="49" t="s">
        <v>45</v>
      </c>
      <c r="F36" s="49" t="s">
        <v>46</v>
      </c>
      <c r="G36" s="49" t="s">
        <v>137</v>
      </c>
      <c r="H36" s="49" t="s">
        <v>138</v>
      </c>
      <c r="I36" s="47"/>
      <c r="J36" s="47"/>
      <c r="K36" s="47"/>
      <c r="L36" s="47"/>
      <c r="M36" s="47"/>
      <c r="N36" s="47"/>
      <c r="O36" s="50" t="s">
        <v>39</v>
      </c>
    </row>
    <row r="37" spans="1:15" x14ac:dyDescent="0.25">
      <c r="B37" s="98"/>
      <c r="C37" s="52">
        <v>50</v>
      </c>
      <c r="D37" s="53"/>
      <c r="E37" s="53"/>
      <c r="F37" s="53"/>
      <c r="G37" s="53"/>
      <c r="H37" s="53"/>
      <c r="I37" s="51"/>
      <c r="J37" s="51"/>
      <c r="K37" s="51"/>
      <c r="L37" s="51"/>
      <c r="M37" s="51"/>
      <c r="N37" s="51"/>
      <c r="O37" s="50" t="s">
        <v>40</v>
      </c>
    </row>
    <row r="38" spans="1:15" x14ac:dyDescent="0.25">
      <c r="B38" s="97" t="s">
        <v>58</v>
      </c>
      <c r="C38" s="48" t="s">
        <v>49</v>
      </c>
      <c r="D38" s="49" t="s">
        <v>44</v>
      </c>
      <c r="E38" s="49" t="s">
        <v>45</v>
      </c>
      <c r="F38" s="49" t="s">
        <v>46</v>
      </c>
      <c r="G38" s="49" t="s">
        <v>137</v>
      </c>
      <c r="H38" s="49" t="s">
        <v>138</v>
      </c>
      <c r="I38" s="47"/>
      <c r="J38" s="47"/>
      <c r="K38" s="47"/>
      <c r="L38" s="47"/>
      <c r="M38" s="47"/>
      <c r="N38" s="47"/>
      <c r="O38" s="50" t="s">
        <v>39</v>
      </c>
    </row>
    <row r="39" spans="1:15" x14ac:dyDescent="0.25">
      <c r="B39" s="98"/>
      <c r="C39" s="52">
        <v>50</v>
      </c>
      <c r="D39" s="53"/>
      <c r="E39" s="53"/>
      <c r="F39" s="53"/>
      <c r="G39" s="53"/>
      <c r="H39" s="53"/>
      <c r="I39" s="51"/>
      <c r="J39" s="51"/>
      <c r="K39" s="51"/>
      <c r="L39" s="51"/>
      <c r="M39" s="51"/>
      <c r="N39" s="51"/>
      <c r="O39" s="50" t="s">
        <v>40</v>
      </c>
    </row>
    <row r="41" spans="1:15" x14ac:dyDescent="0.25">
      <c r="A41" s="43">
        <v>500</v>
      </c>
      <c r="B41" s="44"/>
    </row>
    <row r="42" spans="1:15" x14ac:dyDescent="0.25">
      <c r="A42" s="40" t="s">
        <v>59</v>
      </c>
      <c r="B42" s="40">
        <v>26.1</v>
      </c>
    </row>
    <row r="43" spans="1:15" x14ac:dyDescent="0.25">
      <c r="A43" s="40" t="s">
        <v>59</v>
      </c>
      <c r="B43" s="40">
        <v>26.1</v>
      </c>
    </row>
    <row r="44" spans="1:15" x14ac:dyDescent="0.25">
      <c r="A44" s="40" t="s">
        <v>59</v>
      </c>
      <c r="B44" s="40">
        <v>26.1</v>
      </c>
    </row>
    <row r="45" spans="1:15" x14ac:dyDescent="0.25">
      <c r="A45" s="40" t="s">
        <v>59</v>
      </c>
      <c r="B45" s="40">
        <v>26.1</v>
      </c>
    </row>
    <row r="46" spans="1:15" x14ac:dyDescent="0.25">
      <c r="A46" s="40" t="s">
        <v>59</v>
      </c>
      <c r="B46" s="40">
        <v>26.1</v>
      </c>
    </row>
    <row r="48" spans="1:15" x14ac:dyDescent="0.25">
      <c r="B48" s="46" t="s">
        <v>39</v>
      </c>
      <c r="C48" s="46" t="s">
        <v>60</v>
      </c>
      <c r="D48" s="46" t="s">
        <v>40</v>
      </c>
      <c r="E48" s="46">
        <v>500</v>
      </c>
      <c r="F48" s="46" t="s">
        <v>61</v>
      </c>
      <c r="G48" s="46" t="s">
        <v>4</v>
      </c>
      <c r="H48" s="46" t="s">
        <v>62</v>
      </c>
      <c r="I48" s="46" t="s">
        <v>63</v>
      </c>
    </row>
    <row r="49" spans="2:9" x14ac:dyDescent="0.25">
      <c r="B49" s="54" t="s">
        <v>44</v>
      </c>
      <c r="C49" s="54" t="s">
        <v>70</v>
      </c>
      <c r="D49" s="54"/>
      <c r="E49" s="54">
        <v>0.39700000000000002</v>
      </c>
      <c r="F49" s="54">
        <v>2</v>
      </c>
      <c r="G49" s="54">
        <v>0.41</v>
      </c>
      <c r="H49" s="54">
        <v>1.7999999999999999E-2</v>
      </c>
      <c r="I49" s="54">
        <v>4.3289999999999997</v>
      </c>
    </row>
    <row r="50" spans="2:9" x14ac:dyDescent="0.25">
      <c r="B50" s="54"/>
      <c r="C50" s="54" t="s">
        <v>71</v>
      </c>
      <c r="D50" s="54"/>
      <c r="E50" s="54">
        <v>0.42199999999999999</v>
      </c>
      <c r="F50" s="54"/>
      <c r="G50" s="54"/>
      <c r="H50" s="54"/>
      <c r="I50" s="54"/>
    </row>
    <row r="51" spans="2:9" x14ac:dyDescent="0.25">
      <c r="B51" s="54" t="s">
        <v>50</v>
      </c>
      <c r="C51" s="54" t="s">
        <v>72</v>
      </c>
      <c r="D51" s="54"/>
      <c r="E51" s="54">
        <v>0.216</v>
      </c>
      <c r="F51" s="54">
        <v>2</v>
      </c>
      <c r="G51" s="54">
        <v>0.22700000000000001</v>
      </c>
      <c r="H51" s="54">
        <v>1.6E-2</v>
      </c>
      <c r="I51" s="54">
        <v>6.8979999999999997</v>
      </c>
    </row>
    <row r="52" spans="2:9" x14ac:dyDescent="0.25">
      <c r="B52" s="54"/>
      <c r="C52" s="54" t="s">
        <v>73</v>
      </c>
      <c r="D52" s="54"/>
      <c r="E52" s="54">
        <v>0.23799999999999999</v>
      </c>
      <c r="F52" s="54"/>
      <c r="G52" s="54"/>
      <c r="H52" s="54"/>
      <c r="I52" s="54"/>
    </row>
    <row r="53" spans="2:9" x14ac:dyDescent="0.25">
      <c r="B53" s="54" t="s">
        <v>56</v>
      </c>
      <c r="C53" s="54" t="s">
        <v>74</v>
      </c>
      <c r="D53" s="54"/>
      <c r="E53" s="54">
        <v>0.13200000000000001</v>
      </c>
      <c r="F53" s="54">
        <v>2</v>
      </c>
      <c r="G53" s="54">
        <v>0.11799999999999999</v>
      </c>
      <c r="H53" s="54">
        <v>1.9E-2</v>
      </c>
      <c r="I53" s="54">
        <v>15.965999999999999</v>
      </c>
    </row>
    <row r="54" spans="2:9" x14ac:dyDescent="0.25">
      <c r="B54" s="54"/>
      <c r="C54" s="54" t="s">
        <v>75</v>
      </c>
      <c r="D54" s="54"/>
      <c r="E54" s="54">
        <v>0.105</v>
      </c>
      <c r="F54" s="54"/>
      <c r="G54" s="54"/>
      <c r="H54" s="54"/>
      <c r="I54" s="54"/>
    </row>
    <row r="55" spans="2:9" x14ac:dyDescent="0.25">
      <c r="B55" s="54" t="s">
        <v>37</v>
      </c>
      <c r="C55" s="54" t="s">
        <v>76</v>
      </c>
      <c r="D55" s="54"/>
      <c r="E55" s="54">
        <v>0.21299999999999999</v>
      </c>
      <c r="F55" s="54">
        <v>2</v>
      </c>
      <c r="G55" s="54">
        <v>0.214</v>
      </c>
      <c r="H55" s="54">
        <v>0</v>
      </c>
      <c r="I55" s="54">
        <v>0.13200000000000001</v>
      </c>
    </row>
    <row r="56" spans="2:9" x14ac:dyDescent="0.25">
      <c r="B56" s="54"/>
      <c r="C56" s="54" t="s">
        <v>77</v>
      </c>
      <c r="D56" s="54"/>
      <c r="E56" s="54">
        <v>0.214</v>
      </c>
      <c r="F56" s="54"/>
      <c r="G56" s="54"/>
      <c r="H56" s="54"/>
      <c r="I56" s="54"/>
    </row>
    <row r="57" spans="2:9" x14ac:dyDescent="0.25">
      <c r="B57" s="54" t="s">
        <v>45</v>
      </c>
      <c r="C57" s="54" t="s">
        <v>78</v>
      </c>
      <c r="D57" s="54"/>
      <c r="E57" s="54">
        <v>0.122</v>
      </c>
      <c r="F57" s="54">
        <v>2</v>
      </c>
      <c r="G57" s="54">
        <v>0.122</v>
      </c>
      <c r="H57" s="54">
        <v>0</v>
      </c>
      <c r="I57" s="54">
        <v>5.8000000000000003E-2</v>
      </c>
    </row>
    <row r="58" spans="2:9" x14ac:dyDescent="0.25">
      <c r="B58" s="54"/>
      <c r="C58" s="54" t="s">
        <v>79</v>
      </c>
      <c r="D58" s="54"/>
      <c r="E58" s="54">
        <v>0.122</v>
      </c>
      <c r="F58" s="54"/>
      <c r="G58" s="54"/>
      <c r="H58" s="54"/>
      <c r="I58" s="54"/>
    </row>
    <row r="59" spans="2:9" x14ac:dyDescent="0.25">
      <c r="B59" s="54" t="s">
        <v>51</v>
      </c>
      <c r="C59" s="54" t="s">
        <v>80</v>
      </c>
      <c r="D59" s="54"/>
      <c r="E59" s="54">
        <v>7.9000000000000001E-2</v>
      </c>
      <c r="F59" s="54">
        <v>2</v>
      </c>
      <c r="G59" s="54">
        <v>6.2E-2</v>
      </c>
      <c r="H59" s="54">
        <v>2.3E-2</v>
      </c>
      <c r="I59" s="54">
        <v>36.715000000000003</v>
      </c>
    </row>
    <row r="60" spans="2:9" x14ac:dyDescent="0.25">
      <c r="B60" s="54"/>
      <c r="C60" s="54" t="s">
        <v>81</v>
      </c>
      <c r="D60" s="54"/>
      <c r="E60" s="54">
        <v>4.5999999999999999E-2</v>
      </c>
      <c r="F60" s="54"/>
      <c r="G60" s="54"/>
      <c r="H60" s="54"/>
      <c r="I60" s="54"/>
    </row>
    <row r="61" spans="2:9" x14ac:dyDescent="0.25">
      <c r="B61" s="54" t="s">
        <v>57</v>
      </c>
      <c r="C61" s="54" t="s">
        <v>82</v>
      </c>
      <c r="D61" s="54"/>
      <c r="E61" s="54">
        <v>0.52400000000000002</v>
      </c>
      <c r="F61" s="54">
        <v>2</v>
      </c>
      <c r="G61" s="54">
        <v>0.504</v>
      </c>
      <c r="H61" s="54">
        <v>2.8000000000000001E-2</v>
      </c>
      <c r="I61" s="54">
        <v>5.6130000000000004</v>
      </c>
    </row>
    <row r="62" spans="2:9" x14ac:dyDescent="0.25">
      <c r="B62" s="54"/>
      <c r="C62" s="54" t="s">
        <v>83</v>
      </c>
      <c r="D62" s="54"/>
      <c r="E62" s="54">
        <v>0.48399999999999999</v>
      </c>
      <c r="F62" s="54"/>
      <c r="G62" s="54"/>
      <c r="H62" s="54"/>
      <c r="I62" s="54"/>
    </row>
    <row r="63" spans="2:9" x14ac:dyDescent="0.25">
      <c r="B63" s="54" t="s">
        <v>38</v>
      </c>
      <c r="C63" s="54" t="s">
        <v>84</v>
      </c>
      <c r="D63" s="54"/>
      <c r="E63" s="54">
        <v>0.69399999999999995</v>
      </c>
      <c r="F63" s="54">
        <v>2</v>
      </c>
      <c r="G63" s="54">
        <v>0.71599999999999997</v>
      </c>
      <c r="H63" s="54">
        <v>3.2000000000000001E-2</v>
      </c>
      <c r="I63" s="54">
        <v>4.4320000000000004</v>
      </c>
    </row>
    <row r="64" spans="2:9" x14ac:dyDescent="0.25">
      <c r="B64" s="54"/>
      <c r="C64" s="54" t="s">
        <v>85</v>
      </c>
      <c r="D64" s="54"/>
      <c r="E64" s="54">
        <v>0.73899999999999999</v>
      </c>
      <c r="F64" s="54"/>
      <c r="G64" s="54"/>
      <c r="H64" s="54"/>
      <c r="I64" s="54"/>
    </row>
    <row r="65" spans="2:9" x14ac:dyDescent="0.25">
      <c r="B65" s="54" t="s">
        <v>46</v>
      </c>
      <c r="C65" s="54" t="s">
        <v>86</v>
      </c>
      <c r="D65" s="54"/>
      <c r="E65" s="54">
        <v>4.5999999999999999E-2</v>
      </c>
      <c r="F65" s="54">
        <v>2</v>
      </c>
      <c r="G65" s="54">
        <v>4.5999999999999999E-2</v>
      </c>
      <c r="H65" s="54">
        <v>1E-3</v>
      </c>
      <c r="I65" s="54">
        <v>1.2190000000000001</v>
      </c>
    </row>
    <row r="66" spans="2:9" x14ac:dyDescent="0.25">
      <c r="B66" s="54"/>
      <c r="C66" s="54" t="s">
        <v>87</v>
      </c>
      <c r="D66" s="54"/>
      <c r="E66" s="54">
        <v>4.7E-2</v>
      </c>
      <c r="F66" s="54"/>
      <c r="G66" s="54"/>
      <c r="H66" s="54"/>
      <c r="I66" s="54"/>
    </row>
    <row r="67" spans="2:9" x14ac:dyDescent="0.25">
      <c r="B67" s="54" t="s">
        <v>52</v>
      </c>
      <c r="C67" s="54" t="s">
        <v>139</v>
      </c>
      <c r="D67" s="54"/>
      <c r="E67" s="54">
        <v>0.28299999999999997</v>
      </c>
      <c r="F67" s="54">
        <v>2</v>
      </c>
      <c r="G67" s="54">
        <v>0.30099999999999999</v>
      </c>
      <c r="H67" s="54">
        <v>2.5000000000000001E-2</v>
      </c>
      <c r="I67" s="54">
        <v>8.391</v>
      </c>
    </row>
    <row r="68" spans="2:9" x14ac:dyDescent="0.25">
      <c r="B68" s="54"/>
      <c r="C68" s="54" t="s">
        <v>140</v>
      </c>
      <c r="D68" s="54"/>
      <c r="E68" s="54">
        <v>0.31900000000000001</v>
      </c>
      <c r="F68" s="54"/>
      <c r="G68" s="54"/>
      <c r="H68" s="54"/>
      <c r="I68" s="54"/>
    </row>
    <row r="69" spans="2:9" x14ac:dyDescent="0.25">
      <c r="B69" s="54" t="s">
        <v>132</v>
      </c>
      <c r="C69" s="54" t="s">
        <v>141</v>
      </c>
      <c r="D69" s="54"/>
      <c r="E69" s="54">
        <v>9.8000000000000004E-2</v>
      </c>
      <c r="F69" s="54">
        <v>2</v>
      </c>
      <c r="G69" s="54">
        <v>0.10199999999999999</v>
      </c>
      <c r="H69" s="54">
        <v>6.0000000000000001E-3</v>
      </c>
      <c r="I69" s="54">
        <v>5.89</v>
      </c>
    </row>
    <row r="70" spans="2:9" x14ac:dyDescent="0.25">
      <c r="B70" s="54"/>
      <c r="C70" s="54" t="s">
        <v>142</v>
      </c>
      <c r="D70" s="54"/>
      <c r="E70" s="54">
        <v>0.106</v>
      </c>
      <c r="F70" s="54"/>
      <c r="G70" s="54"/>
      <c r="H70" s="54"/>
      <c r="I70" s="54"/>
    </row>
    <row r="71" spans="2:9" x14ac:dyDescent="0.25">
      <c r="B71" s="54" t="s">
        <v>135</v>
      </c>
      <c r="C71" s="54" t="s">
        <v>143</v>
      </c>
      <c r="D71" s="54"/>
      <c r="E71" s="54">
        <v>0.23300000000000001</v>
      </c>
      <c r="F71" s="54">
        <v>2</v>
      </c>
      <c r="G71" s="54">
        <v>0.22600000000000001</v>
      </c>
      <c r="H71" s="54">
        <v>0.01</v>
      </c>
      <c r="I71" s="54">
        <v>4.5090000000000003</v>
      </c>
    </row>
    <row r="72" spans="2:9" x14ac:dyDescent="0.25">
      <c r="B72" s="54"/>
      <c r="C72" s="54" t="s">
        <v>144</v>
      </c>
      <c r="D72" s="54"/>
      <c r="E72" s="54">
        <v>0.219</v>
      </c>
      <c r="F72" s="54"/>
      <c r="G72" s="54"/>
      <c r="H72" s="54"/>
      <c r="I72" s="54"/>
    </row>
    <row r="73" spans="2:9" x14ac:dyDescent="0.25">
      <c r="B73" s="54" t="s">
        <v>137</v>
      </c>
      <c r="C73" s="54" t="s">
        <v>145</v>
      </c>
      <c r="D73" s="54"/>
      <c r="E73" s="54">
        <v>0.46800000000000003</v>
      </c>
      <c r="F73" s="54">
        <v>2</v>
      </c>
      <c r="G73" s="54">
        <v>0.497</v>
      </c>
      <c r="H73" s="54">
        <v>4.1000000000000002E-2</v>
      </c>
      <c r="I73" s="54">
        <v>8.2769999999999992</v>
      </c>
    </row>
    <row r="74" spans="2:9" x14ac:dyDescent="0.25">
      <c r="B74" s="54"/>
      <c r="C74" s="54" t="s">
        <v>146</v>
      </c>
      <c r="D74" s="54"/>
      <c r="E74" s="54">
        <v>0.52600000000000002</v>
      </c>
      <c r="F74" s="54"/>
      <c r="G74" s="54"/>
      <c r="H74" s="54"/>
      <c r="I74" s="54"/>
    </row>
    <row r="75" spans="2:9" x14ac:dyDescent="0.25">
      <c r="B75" s="54" t="s">
        <v>131</v>
      </c>
      <c r="C75" s="54" t="s">
        <v>147</v>
      </c>
      <c r="D75" s="54"/>
      <c r="E75" s="54">
        <v>0.31</v>
      </c>
      <c r="F75" s="54">
        <v>2</v>
      </c>
      <c r="G75" s="54">
        <v>0.312</v>
      </c>
      <c r="H75" s="54">
        <v>3.0000000000000001E-3</v>
      </c>
      <c r="I75" s="54">
        <v>0.88300000000000001</v>
      </c>
    </row>
    <row r="76" spans="2:9" x14ac:dyDescent="0.25">
      <c r="B76" s="54"/>
      <c r="C76" s="54" t="s">
        <v>148</v>
      </c>
      <c r="D76" s="54"/>
      <c r="E76" s="54">
        <v>0.314</v>
      </c>
      <c r="F76" s="54"/>
      <c r="G76" s="54"/>
      <c r="H76" s="54"/>
      <c r="I76" s="54"/>
    </row>
    <row r="77" spans="2:9" x14ac:dyDescent="0.25">
      <c r="B77" s="54" t="s">
        <v>133</v>
      </c>
      <c r="C77" s="54" t="s">
        <v>149</v>
      </c>
      <c r="D77" s="54"/>
      <c r="E77" s="54">
        <v>0.193</v>
      </c>
      <c r="F77" s="54">
        <v>2</v>
      </c>
      <c r="G77" s="54">
        <v>0.19400000000000001</v>
      </c>
      <c r="H77" s="54">
        <v>1E-3</v>
      </c>
      <c r="I77" s="54">
        <v>0.47399999999999998</v>
      </c>
    </row>
    <row r="78" spans="2:9" x14ac:dyDescent="0.25">
      <c r="B78" s="54"/>
      <c r="C78" s="54" t="s">
        <v>150</v>
      </c>
      <c r="D78" s="54"/>
      <c r="E78" s="54">
        <v>0.19500000000000001</v>
      </c>
      <c r="F78" s="54"/>
      <c r="G78" s="54"/>
      <c r="H78" s="54"/>
      <c r="I78" s="54"/>
    </row>
    <row r="79" spans="2:9" x14ac:dyDescent="0.25">
      <c r="B79" s="54" t="s">
        <v>136</v>
      </c>
      <c r="C79" s="54" t="s">
        <v>151</v>
      </c>
      <c r="D79" s="54"/>
      <c r="E79" s="54">
        <v>0.20699999999999999</v>
      </c>
      <c r="F79" s="54">
        <v>2</v>
      </c>
      <c r="G79" s="54">
        <v>0.20599999999999999</v>
      </c>
      <c r="H79" s="54">
        <v>3.0000000000000001E-3</v>
      </c>
      <c r="I79" s="54">
        <v>1.2729999999999999</v>
      </c>
    </row>
    <row r="80" spans="2:9" x14ac:dyDescent="0.25">
      <c r="B80" s="54"/>
      <c r="C80" s="54" t="s">
        <v>152</v>
      </c>
      <c r="D80" s="54"/>
      <c r="E80" s="54">
        <v>0.20399999999999999</v>
      </c>
      <c r="F80" s="54"/>
      <c r="G80" s="54"/>
      <c r="H80" s="54"/>
      <c r="I80" s="54"/>
    </row>
    <row r="81" spans="1:9" x14ac:dyDescent="0.25">
      <c r="B81" s="54" t="s">
        <v>138</v>
      </c>
      <c r="C81" s="54" t="s">
        <v>153</v>
      </c>
      <c r="D81" s="54"/>
      <c r="E81" s="54">
        <v>0.17</v>
      </c>
      <c r="F81" s="54">
        <v>2</v>
      </c>
      <c r="G81" s="54">
        <v>0.17699999999999999</v>
      </c>
      <c r="H81" s="54">
        <v>8.9999999999999993E-3</v>
      </c>
      <c r="I81" s="54">
        <v>5.3239999999999998</v>
      </c>
    </row>
    <row r="82" spans="1:9" x14ac:dyDescent="0.25">
      <c r="B82" s="54"/>
      <c r="C82" s="54" t="s">
        <v>154</v>
      </c>
      <c r="D82" s="54"/>
      <c r="E82" s="54">
        <v>0.183</v>
      </c>
      <c r="F82" s="54"/>
      <c r="G82" s="54"/>
      <c r="H82" s="54"/>
      <c r="I82" s="54"/>
    </row>
    <row r="83" spans="1:9" x14ac:dyDescent="0.25">
      <c r="B83" s="54" t="s">
        <v>98</v>
      </c>
      <c r="C83" s="54" t="s">
        <v>88</v>
      </c>
      <c r="D83" s="54">
        <v>0</v>
      </c>
      <c r="E83" s="54">
        <v>4.7E-2</v>
      </c>
      <c r="F83" s="54">
        <v>2</v>
      </c>
      <c r="G83" s="54">
        <v>4.7E-2</v>
      </c>
      <c r="H83" s="54">
        <v>0</v>
      </c>
      <c r="I83" s="54">
        <v>0.30399999999999999</v>
      </c>
    </row>
    <row r="84" spans="1:9" x14ac:dyDescent="0.25">
      <c r="B84" s="54"/>
      <c r="C84" s="54" t="s">
        <v>89</v>
      </c>
      <c r="D84" s="54">
        <v>0</v>
      </c>
      <c r="E84" s="54">
        <v>4.5999999999999999E-2</v>
      </c>
      <c r="F84" s="54"/>
      <c r="G84" s="54"/>
      <c r="H84" s="54"/>
      <c r="I84" s="54"/>
    </row>
    <row r="85" spans="1:9" x14ac:dyDescent="0.25">
      <c r="B85" s="54" t="s">
        <v>43</v>
      </c>
      <c r="C85" s="54" t="s">
        <v>91</v>
      </c>
      <c r="D85" s="54">
        <v>12.5</v>
      </c>
      <c r="E85" s="54">
        <v>8.5000000000000006E-2</v>
      </c>
      <c r="F85" s="54">
        <v>2</v>
      </c>
      <c r="G85" s="54">
        <v>8.8999999999999996E-2</v>
      </c>
      <c r="H85" s="54">
        <v>6.0000000000000001E-3</v>
      </c>
      <c r="I85" s="54">
        <v>6.2590000000000003</v>
      </c>
    </row>
    <row r="86" spans="1:9" x14ac:dyDescent="0.25">
      <c r="B86" s="54"/>
      <c r="C86" s="54" t="s">
        <v>90</v>
      </c>
      <c r="D86" s="54">
        <v>12.5</v>
      </c>
      <c r="E86" s="54">
        <v>9.2999999999999999E-2</v>
      </c>
      <c r="F86" s="54"/>
      <c r="G86" s="54"/>
      <c r="H86" s="54"/>
      <c r="I86" s="54"/>
    </row>
    <row r="87" spans="1:9" x14ac:dyDescent="0.25">
      <c r="B87" s="54" t="s">
        <v>49</v>
      </c>
      <c r="C87" s="54" t="s">
        <v>92</v>
      </c>
      <c r="D87" s="54">
        <v>50</v>
      </c>
      <c r="E87" s="54">
        <v>0.192</v>
      </c>
      <c r="F87" s="54">
        <v>2</v>
      </c>
      <c r="G87" s="54">
        <v>0.193</v>
      </c>
      <c r="H87" s="54">
        <v>1E-3</v>
      </c>
      <c r="I87" s="54">
        <v>0.51300000000000001</v>
      </c>
    </row>
    <row r="88" spans="1:9" x14ac:dyDescent="0.25">
      <c r="B88" s="54"/>
      <c r="C88" s="54" t="s">
        <v>93</v>
      </c>
      <c r="D88" s="54">
        <v>50</v>
      </c>
      <c r="E88" s="54">
        <v>0.19400000000000001</v>
      </c>
      <c r="F88" s="54"/>
      <c r="G88" s="54"/>
      <c r="H88" s="54"/>
      <c r="I88" s="54"/>
    </row>
    <row r="89" spans="1:9" x14ac:dyDescent="0.25">
      <c r="B89" s="54" t="s">
        <v>102</v>
      </c>
      <c r="C89" s="54" t="s">
        <v>94</v>
      </c>
      <c r="D89" s="54">
        <v>100</v>
      </c>
      <c r="E89" s="54">
        <v>0.33</v>
      </c>
      <c r="F89" s="54">
        <v>2</v>
      </c>
      <c r="G89" s="54">
        <v>0.33500000000000002</v>
      </c>
      <c r="H89" s="54">
        <v>6.0000000000000001E-3</v>
      </c>
      <c r="I89" s="54">
        <v>1.8169999999999999</v>
      </c>
    </row>
    <row r="90" spans="1:9" x14ac:dyDescent="0.25">
      <c r="B90" s="54"/>
      <c r="C90" s="54" t="s">
        <v>95</v>
      </c>
      <c r="D90" s="54">
        <v>100</v>
      </c>
      <c r="E90" s="54">
        <v>0.33900000000000002</v>
      </c>
      <c r="F90" s="54"/>
      <c r="G90" s="54"/>
      <c r="H90" s="54"/>
      <c r="I90" s="54"/>
    </row>
    <row r="91" spans="1:9" x14ac:dyDescent="0.25">
      <c r="B91" s="54" t="s">
        <v>55</v>
      </c>
      <c r="C91" s="54" t="s">
        <v>66</v>
      </c>
      <c r="D91" s="54">
        <v>150</v>
      </c>
      <c r="E91" s="54">
        <v>0.46899999999999997</v>
      </c>
      <c r="F91" s="54">
        <v>2</v>
      </c>
      <c r="G91" s="54">
        <v>0.47399999999999998</v>
      </c>
      <c r="H91" s="54">
        <v>6.0000000000000001E-3</v>
      </c>
      <c r="I91" s="54">
        <v>1.3280000000000001</v>
      </c>
    </row>
    <row r="92" spans="1:9" x14ac:dyDescent="0.25">
      <c r="B92" s="54"/>
      <c r="C92" s="54" t="s">
        <v>67</v>
      </c>
      <c r="D92" s="54">
        <v>150</v>
      </c>
      <c r="E92" s="54">
        <v>0.47799999999999998</v>
      </c>
      <c r="F92" s="54"/>
      <c r="G92" s="54"/>
      <c r="H92" s="54"/>
      <c r="I92" s="54"/>
    </row>
    <row r="93" spans="1:9" x14ac:dyDescent="0.25">
      <c r="B93" s="54" t="s">
        <v>134</v>
      </c>
      <c r="C93" s="54" t="s">
        <v>68</v>
      </c>
      <c r="D93" s="54">
        <v>200</v>
      </c>
      <c r="E93" s="54">
        <v>0.59699999999999998</v>
      </c>
      <c r="F93" s="54">
        <v>2</v>
      </c>
      <c r="G93" s="54">
        <v>0.61399999999999999</v>
      </c>
      <c r="H93" s="54">
        <v>2.4E-2</v>
      </c>
      <c r="I93" s="54">
        <v>3.95</v>
      </c>
    </row>
    <row r="94" spans="1:9" x14ac:dyDescent="0.25">
      <c r="B94" s="54"/>
      <c r="C94" s="54" t="s">
        <v>69</v>
      </c>
      <c r="D94" s="54">
        <v>200</v>
      </c>
      <c r="E94" s="54">
        <v>0.63100000000000001</v>
      </c>
      <c r="F94" s="54"/>
      <c r="G94" s="54"/>
      <c r="H94" s="54"/>
      <c r="I94" s="54"/>
    </row>
    <row r="96" spans="1:9" x14ac:dyDescent="0.25">
      <c r="A96" s="43" t="s">
        <v>104</v>
      </c>
      <c r="B96" s="44"/>
    </row>
    <row r="131" spans="1:10" ht="26.4" x14ac:dyDescent="0.25">
      <c r="A131" s="43" t="s">
        <v>105</v>
      </c>
      <c r="B131" s="44"/>
    </row>
    <row r="133" spans="1:10" ht="26.4" x14ac:dyDescent="0.25">
      <c r="B133" s="46" t="s">
        <v>106</v>
      </c>
      <c r="C133" s="46" t="s">
        <v>107</v>
      </c>
      <c r="D133" s="46" t="s">
        <v>35</v>
      </c>
      <c r="E133" s="46" t="s">
        <v>41</v>
      </c>
      <c r="F133" s="46" t="s">
        <v>108</v>
      </c>
      <c r="G133" s="46" t="s">
        <v>109</v>
      </c>
    </row>
    <row r="134" spans="1:10" x14ac:dyDescent="0.25">
      <c r="B134" s="54" t="s">
        <v>104</v>
      </c>
      <c r="C134" s="54" t="s">
        <v>110</v>
      </c>
      <c r="D134" s="54">
        <v>2.82E-3</v>
      </c>
      <c r="E134" s="54">
        <v>5.0900000000000001E-2</v>
      </c>
      <c r="F134" s="54">
        <v>1</v>
      </c>
      <c r="G134" s="54" t="s">
        <v>99</v>
      </c>
    </row>
    <row r="136" spans="1:10" x14ac:dyDescent="0.25">
      <c r="A136" s="43" t="s">
        <v>111</v>
      </c>
      <c r="B136" s="44"/>
    </row>
    <row r="137" spans="1:10" x14ac:dyDescent="0.25">
      <c r="A137" s="40" t="s">
        <v>59</v>
      </c>
      <c r="B137" s="40">
        <v>26.1</v>
      </c>
    </row>
    <row r="139" spans="1:10" ht="26.4" x14ac:dyDescent="0.25">
      <c r="B139" s="46" t="s">
        <v>39</v>
      </c>
      <c r="C139" s="46" t="s">
        <v>60</v>
      </c>
      <c r="D139" s="46" t="s">
        <v>40</v>
      </c>
      <c r="E139" s="46">
        <v>500</v>
      </c>
      <c r="F139" s="46" t="s">
        <v>111</v>
      </c>
      <c r="G139" s="46" t="s">
        <v>61</v>
      </c>
      <c r="H139" s="46" t="s">
        <v>4</v>
      </c>
      <c r="I139" s="46" t="s">
        <v>62</v>
      </c>
      <c r="J139" s="46" t="s">
        <v>63</v>
      </c>
    </row>
    <row r="140" spans="1:10" x14ac:dyDescent="0.25">
      <c r="B140" s="54" t="s">
        <v>44</v>
      </c>
      <c r="C140" s="54" t="s">
        <v>70</v>
      </c>
      <c r="D140" s="54"/>
      <c r="E140" s="54">
        <v>0.39700000000000002</v>
      </c>
      <c r="F140" s="54">
        <v>122.83499999999999</v>
      </c>
      <c r="G140" s="54">
        <v>2</v>
      </c>
      <c r="H140" s="54">
        <v>127.28400000000001</v>
      </c>
      <c r="I140" s="54">
        <v>6.2910000000000004</v>
      </c>
      <c r="J140" s="54">
        <v>4.9429999999999996</v>
      </c>
    </row>
    <row r="141" spans="1:10" x14ac:dyDescent="0.25">
      <c r="B141" s="54"/>
      <c r="C141" s="54" t="s">
        <v>71</v>
      </c>
      <c r="D141" s="54"/>
      <c r="E141" s="54">
        <v>0.42199999999999999</v>
      </c>
      <c r="F141" s="54">
        <v>131.733</v>
      </c>
      <c r="G141" s="54"/>
      <c r="H141" s="54"/>
      <c r="I141" s="54"/>
      <c r="J141" s="54"/>
    </row>
    <row r="142" spans="1:10" x14ac:dyDescent="0.25">
      <c r="B142" s="54" t="s">
        <v>50</v>
      </c>
      <c r="C142" s="54" t="s">
        <v>72</v>
      </c>
      <c r="D142" s="54"/>
      <c r="E142" s="54">
        <v>0.216</v>
      </c>
      <c r="F142" s="54">
        <v>58.354999999999997</v>
      </c>
      <c r="G142" s="54">
        <v>2</v>
      </c>
      <c r="H142" s="54">
        <v>62.271999999999998</v>
      </c>
      <c r="I142" s="54">
        <v>5.54</v>
      </c>
      <c r="J142" s="54">
        <v>8.8960000000000008</v>
      </c>
    </row>
    <row r="143" spans="1:10" x14ac:dyDescent="0.25">
      <c r="B143" s="54"/>
      <c r="C143" s="54" t="s">
        <v>73</v>
      </c>
      <c r="D143" s="54"/>
      <c r="E143" s="54">
        <v>0.23799999999999999</v>
      </c>
      <c r="F143" s="54">
        <v>66.188999999999993</v>
      </c>
      <c r="G143" s="54"/>
      <c r="H143" s="54"/>
      <c r="I143" s="54"/>
      <c r="J143" s="54"/>
    </row>
    <row r="144" spans="1:10" x14ac:dyDescent="0.25">
      <c r="B144" s="54" t="s">
        <v>56</v>
      </c>
      <c r="C144" s="54" t="s">
        <v>74</v>
      </c>
      <c r="D144" s="54"/>
      <c r="E144" s="54">
        <v>0.13200000000000001</v>
      </c>
      <c r="F144" s="54">
        <v>28.614000000000001</v>
      </c>
      <c r="G144" s="54">
        <v>2</v>
      </c>
      <c r="H144" s="54">
        <v>23.882000000000001</v>
      </c>
      <c r="I144" s="54">
        <v>6.6929999999999996</v>
      </c>
      <c r="J144" s="54">
        <v>28.024000000000001</v>
      </c>
    </row>
    <row r="145" spans="2:10" x14ac:dyDescent="0.25">
      <c r="B145" s="54"/>
      <c r="C145" s="54" t="s">
        <v>75</v>
      </c>
      <c r="D145" s="54"/>
      <c r="E145" s="54">
        <v>0.105</v>
      </c>
      <c r="F145" s="54">
        <v>19.149000000000001</v>
      </c>
      <c r="G145" s="54"/>
      <c r="H145" s="54"/>
      <c r="I145" s="54"/>
      <c r="J145" s="54"/>
    </row>
    <row r="146" spans="2:10" x14ac:dyDescent="0.25">
      <c r="B146" s="54" t="s">
        <v>37</v>
      </c>
      <c r="C146" s="54" t="s">
        <v>76</v>
      </c>
      <c r="D146" s="54"/>
      <c r="E146" s="54">
        <v>0.21299999999999999</v>
      </c>
      <c r="F146" s="54">
        <v>57.610999999999997</v>
      </c>
      <c r="G146" s="54">
        <v>2</v>
      </c>
      <c r="H146" s="54">
        <v>57.680999999999997</v>
      </c>
      <c r="I146" s="54">
        <v>0.1</v>
      </c>
      <c r="J146" s="54">
        <v>0.17399999999999999</v>
      </c>
    </row>
    <row r="147" spans="2:10" x14ac:dyDescent="0.25">
      <c r="B147" s="54"/>
      <c r="C147" s="54" t="s">
        <v>77</v>
      </c>
      <c r="D147" s="54"/>
      <c r="E147" s="54">
        <v>0.214</v>
      </c>
      <c r="F147" s="54">
        <v>57.752000000000002</v>
      </c>
      <c r="G147" s="54"/>
      <c r="H147" s="54"/>
      <c r="I147" s="54"/>
      <c r="J147" s="54"/>
    </row>
    <row r="148" spans="2:10" x14ac:dyDescent="0.25">
      <c r="B148" s="54" t="s">
        <v>45</v>
      </c>
      <c r="C148" s="54" t="s">
        <v>78</v>
      </c>
      <c r="D148" s="54"/>
      <c r="E148" s="54">
        <v>0.122</v>
      </c>
      <c r="F148" s="54">
        <v>25.245999999999999</v>
      </c>
      <c r="G148" s="54">
        <v>2</v>
      </c>
      <c r="H148" s="54">
        <v>25.263999999999999</v>
      </c>
      <c r="I148" s="54">
        <v>2.5000000000000001E-2</v>
      </c>
      <c r="J148" s="54">
        <v>9.9000000000000005E-2</v>
      </c>
    </row>
    <row r="149" spans="2:10" x14ac:dyDescent="0.25">
      <c r="B149" s="54"/>
      <c r="C149" s="54" t="s">
        <v>79</v>
      </c>
      <c r="D149" s="54"/>
      <c r="E149" s="54">
        <v>0.122</v>
      </c>
      <c r="F149" s="54">
        <v>25.282</v>
      </c>
      <c r="G149" s="54"/>
      <c r="H149" s="54"/>
      <c r="I149" s="54"/>
      <c r="J149" s="54"/>
    </row>
    <row r="150" spans="2:10" x14ac:dyDescent="0.25">
      <c r="B150" s="54" t="s">
        <v>51</v>
      </c>
      <c r="C150" s="54" t="s">
        <v>80</v>
      </c>
      <c r="D150" s="54"/>
      <c r="E150" s="54">
        <v>7.9000000000000001E-2</v>
      </c>
      <c r="F150" s="54">
        <v>9.8260000000000005</v>
      </c>
      <c r="G150" s="54">
        <v>1</v>
      </c>
      <c r="H150" s="54">
        <v>9.8260000000000005</v>
      </c>
      <c r="I150" s="54" t="s">
        <v>99</v>
      </c>
      <c r="J150" s="54" t="s">
        <v>99</v>
      </c>
    </row>
    <row r="151" spans="2:10" x14ac:dyDescent="0.25">
      <c r="B151" s="54"/>
      <c r="C151" s="54" t="s">
        <v>81</v>
      </c>
      <c r="D151" s="54"/>
      <c r="E151" s="54">
        <v>4.5999999999999999E-2</v>
      </c>
      <c r="F151" s="54" t="s">
        <v>112</v>
      </c>
      <c r="G151" s="54"/>
      <c r="H151" s="54"/>
      <c r="I151" s="54"/>
      <c r="J151" s="54"/>
    </row>
    <row r="152" spans="2:10" x14ac:dyDescent="0.25">
      <c r="B152" s="54" t="s">
        <v>57</v>
      </c>
      <c r="C152" s="54" t="s">
        <v>82</v>
      </c>
      <c r="D152" s="54"/>
      <c r="E152" s="54">
        <v>0.52400000000000002</v>
      </c>
      <c r="F152" s="54">
        <v>167.67699999999999</v>
      </c>
      <c r="G152" s="54">
        <v>2</v>
      </c>
      <c r="H152" s="54">
        <v>160.58699999999999</v>
      </c>
      <c r="I152" s="54">
        <v>10.026</v>
      </c>
      <c r="J152" s="54">
        <v>6.2430000000000003</v>
      </c>
    </row>
    <row r="153" spans="2:10" x14ac:dyDescent="0.25">
      <c r="B153" s="54"/>
      <c r="C153" s="54" t="s">
        <v>83</v>
      </c>
      <c r="D153" s="54"/>
      <c r="E153" s="54">
        <v>0.48399999999999999</v>
      </c>
      <c r="F153" s="54">
        <v>153.49799999999999</v>
      </c>
      <c r="G153" s="54"/>
      <c r="H153" s="54"/>
      <c r="I153" s="54"/>
      <c r="J153" s="54"/>
    </row>
    <row r="154" spans="2:10" x14ac:dyDescent="0.25">
      <c r="B154" s="54" t="s">
        <v>38</v>
      </c>
      <c r="C154" s="54" t="s">
        <v>84</v>
      </c>
      <c r="D154" s="54"/>
      <c r="E154" s="54">
        <v>0.69399999999999995</v>
      </c>
      <c r="F154" s="54" t="s">
        <v>155</v>
      </c>
      <c r="G154" s="54">
        <v>0</v>
      </c>
      <c r="H154" s="54" t="s">
        <v>99</v>
      </c>
      <c r="I154" s="54" t="s">
        <v>99</v>
      </c>
      <c r="J154" s="54" t="s">
        <v>99</v>
      </c>
    </row>
    <row r="155" spans="2:10" x14ac:dyDescent="0.25">
      <c r="B155" s="54"/>
      <c r="C155" s="54" t="s">
        <v>85</v>
      </c>
      <c r="D155" s="54"/>
      <c r="E155" s="54">
        <v>0.73899999999999999</v>
      </c>
      <c r="F155" s="54" t="s">
        <v>155</v>
      </c>
      <c r="G155" s="54"/>
      <c r="H155" s="54"/>
      <c r="I155" s="54"/>
      <c r="J155" s="54"/>
    </row>
    <row r="156" spans="2:10" x14ac:dyDescent="0.25">
      <c r="B156" s="54" t="s">
        <v>46</v>
      </c>
      <c r="C156" s="54" t="s">
        <v>86</v>
      </c>
      <c r="D156" s="54"/>
      <c r="E156" s="54">
        <v>4.5999999999999999E-2</v>
      </c>
      <c r="F156" s="54" t="s">
        <v>112</v>
      </c>
      <c r="G156" s="54">
        <v>0</v>
      </c>
      <c r="H156" s="54" t="s">
        <v>99</v>
      </c>
      <c r="I156" s="54" t="s">
        <v>99</v>
      </c>
      <c r="J156" s="54" t="s">
        <v>99</v>
      </c>
    </row>
    <row r="157" spans="2:10" x14ac:dyDescent="0.25">
      <c r="B157" s="54"/>
      <c r="C157" s="54" t="s">
        <v>87</v>
      </c>
      <c r="D157" s="54"/>
      <c r="E157" s="54">
        <v>4.7E-2</v>
      </c>
      <c r="F157" s="54" t="s">
        <v>112</v>
      </c>
      <c r="G157" s="54"/>
      <c r="H157" s="54"/>
      <c r="I157" s="54"/>
      <c r="J157" s="54"/>
    </row>
    <row r="158" spans="2:10" x14ac:dyDescent="0.25">
      <c r="B158" s="54" t="s">
        <v>52</v>
      </c>
      <c r="C158" s="54" t="s">
        <v>139</v>
      </c>
      <c r="D158" s="54"/>
      <c r="E158" s="54">
        <v>0.28299999999999997</v>
      </c>
      <c r="F158" s="54">
        <v>82.281999999999996</v>
      </c>
      <c r="G158" s="54">
        <v>2</v>
      </c>
      <c r="H158" s="54">
        <v>88.61</v>
      </c>
      <c r="I158" s="54">
        <v>8.9480000000000004</v>
      </c>
      <c r="J158" s="54">
        <v>10.099</v>
      </c>
    </row>
    <row r="159" spans="2:10" x14ac:dyDescent="0.25">
      <c r="B159" s="54"/>
      <c r="C159" s="54" t="s">
        <v>140</v>
      </c>
      <c r="D159" s="54"/>
      <c r="E159" s="54">
        <v>0.31900000000000001</v>
      </c>
      <c r="F159" s="54">
        <v>94.936999999999998</v>
      </c>
      <c r="G159" s="54"/>
      <c r="H159" s="54"/>
      <c r="I159" s="54"/>
      <c r="J159" s="54"/>
    </row>
    <row r="160" spans="2:10" x14ac:dyDescent="0.25">
      <c r="B160" s="54" t="s">
        <v>132</v>
      </c>
      <c r="C160" s="54" t="s">
        <v>141</v>
      </c>
      <c r="D160" s="54"/>
      <c r="E160" s="54">
        <v>9.8000000000000004E-2</v>
      </c>
      <c r="F160" s="54">
        <v>16.632999999999999</v>
      </c>
      <c r="G160" s="54">
        <v>2</v>
      </c>
      <c r="H160" s="54">
        <v>18.138999999999999</v>
      </c>
      <c r="I160" s="54">
        <v>2.1309999999999998</v>
      </c>
      <c r="J160" s="54">
        <v>11.746</v>
      </c>
    </row>
    <row r="161" spans="2:10" x14ac:dyDescent="0.25">
      <c r="B161" s="54"/>
      <c r="C161" s="54" t="s">
        <v>142</v>
      </c>
      <c r="D161" s="54"/>
      <c r="E161" s="54">
        <v>0.106</v>
      </c>
      <c r="F161" s="54">
        <v>19.646000000000001</v>
      </c>
      <c r="G161" s="54"/>
      <c r="H161" s="54"/>
      <c r="I161" s="54"/>
      <c r="J161" s="54"/>
    </row>
    <row r="162" spans="2:10" x14ac:dyDescent="0.25">
      <c r="B162" s="54" t="s">
        <v>135</v>
      </c>
      <c r="C162" s="54" t="s">
        <v>143</v>
      </c>
      <c r="D162" s="54"/>
      <c r="E162" s="54">
        <v>0.23300000000000001</v>
      </c>
      <c r="F162" s="54">
        <v>64.558000000000007</v>
      </c>
      <c r="G162" s="54">
        <v>2</v>
      </c>
      <c r="H162" s="54">
        <v>62.006</v>
      </c>
      <c r="I162" s="54">
        <v>3.609</v>
      </c>
      <c r="J162" s="54">
        <v>5.8209999999999997</v>
      </c>
    </row>
    <row r="163" spans="2:10" x14ac:dyDescent="0.25">
      <c r="B163" s="54"/>
      <c r="C163" s="54" t="s">
        <v>144</v>
      </c>
      <c r="D163" s="54"/>
      <c r="E163" s="54">
        <v>0.219</v>
      </c>
      <c r="F163" s="54">
        <v>59.454000000000001</v>
      </c>
      <c r="G163" s="54"/>
      <c r="H163" s="54"/>
      <c r="I163" s="54"/>
      <c r="J163" s="54"/>
    </row>
    <row r="164" spans="2:10" x14ac:dyDescent="0.25">
      <c r="B164" s="54" t="s">
        <v>137</v>
      </c>
      <c r="C164" s="54" t="s">
        <v>145</v>
      </c>
      <c r="D164" s="54"/>
      <c r="E164" s="54">
        <v>0.46800000000000003</v>
      </c>
      <c r="F164" s="54">
        <v>147.89699999999999</v>
      </c>
      <c r="G164" s="54">
        <v>2</v>
      </c>
      <c r="H164" s="54">
        <v>158.21199999999999</v>
      </c>
      <c r="I164" s="54">
        <v>14.587999999999999</v>
      </c>
      <c r="J164" s="54">
        <v>9.2210000000000001</v>
      </c>
    </row>
    <row r="165" spans="2:10" x14ac:dyDescent="0.25">
      <c r="B165" s="54"/>
      <c r="C165" s="54" t="s">
        <v>146</v>
      </c>
      <c r="D165" s="54"/>
      <c r="E165" s="54">
        <v>0.52600000000000002</v>
      </c>
      <c r="F165" s="54">
        <v>168.52799999999999</v>
      </c>
      <c r="G165" s="54"/>
      <c r="H165" s="54"/>
      <c r="I165" s="54"/>
      <c r="J165" s="54"/>
    </row>
    <row r="166" spans="2:10" x14ac:dyDescent="0.25">
      <c r="B166" s="54" t="s">
        <v>131</v>
      </c>
      <c r="C166" s="54" t="s">
        <v>147</v>
      </c>
      <c r="D166" s="54"/>
      <c r="E166" s="54">
        <v>0.31</v>
      </c>
      <c r="F166" s="54">
        <v>91.924000000000007</v>
      </c>
      <c r="G166" s="54">
        <v>2</v>
      </c>
      <c r="H166" s="54">
        <v>92.616</v>
      </c>
      <c r="I166" s="54">
        <v>0.97799999999999998</v>
      </c>
      <c r="J166" s="54">
        <v>1.056</v>
      </c>
    </row>
    <row r="167" spans="2:10" x14ac:dyDescent="0.25">
      <c r="B167" s="54"/>
      <c r="C167" s="54" t="s">
        <v>148</v>
      </c>
      <c r="D167" s="54"/>
      <c r="E167" s="54">
        <v>0.314</v>
      </c>
      <c r="F167" s="54">
        <v>93.307000000000002</v>
      </c>
      <c r="G167" s="54"/>
      <c r="H167" s="54"/>
      <c r="I167" s="54"/>
      <c r="J167" s="54"/>
    </row>
    <row r="168" spans="2:10" x14ac:dyDescent="0.25">
      <c r="B168" s="54" t="s">
        <v>133</v>
      </c>
      <c r="C168" s="54" t="s">
        <v>149</v>
      </c>
      <c r="D168" s="54"/>
      <c r="E168" s="54">
        <v>0.193</v>
      </c>
      <c r="F168" s="54">
        <v>50.484999999999999</v>
      </c>
      <c r="G168" s="54">
        <v>2</v>
      </c>
      <c r="H168" s="54">
        <v>50.716000000000001</v>
      </c>
      <c r="I168" s="54">
        <v>0.32600000000000001</v>
      </c>
      <c r="J168" s="54">
        <v>0.64300000000000002</v>
      </c>
    </row>
    <row r="169" spans="2:10" x14ac:dyDescent="0.25">
      <c r="B169" s="54"/>
      <c r="C169" s="54" t="s">
        <v>150</v>
      </c>
      <c r="D169" s="54"/>
      <c r="E169" s="54">
        <v>0.19500000000000001</v>
      </c>
      <c r="F169" s="54">
        <v>50.945999999999998</v>
      </c>
      <c r="G169" s="54"/>
      <c r="H169" s="54"/>
      <c r="I169" s="54"/>
      <c r="J169" s="54"/>
    </row>
    <row r="170" spans="2:10" x14ac:dyDescent="0.25">
      <c r="B170" s="54" t="s">
        <v>136</v>
      </c>
      <c r="C170" s="54" t="s">
        <v>151</v>
      </c>
      <c r="D170" s="54"/>
      <c r="E170" s="54">
        <v>0.20699999999999999</v>
      </c>
      <c r="F170" s="54">
        <v>55.484000000000002</v>
      </c>
      <c r="G170" s="54">
        <v>2</v>
      </c>
      <c r="H170" s="54">
        <v>54.828000000000003</v>
      </c>
      <c r="I170" s="54">
        <v>0.92700000000000005</v>
      </c>
      <c r="J170" s="54">
        <v>1.6919999999999999</v>
      </c>
    </row>
    <row r="171" spans="2:10" x14ac:dyDescent="0.25">
      <c r="B171" s="54"/>
      <c r="C171" s="54" t="s">
        <v>152</v>
      </c>
      <c r="D171" s="54"/>
      <c r="E171" s="54">
        <v>0.20399999999999999</v>
      </c>
      <c r="F171" s="54">
        <v>54.171999999999997</v>
      </c>
      <c r="G171" s="54"/>
      <c r="H171" s="54"/>
      <c r="I171" s="54"/>
      <c r="J171" s="54"/>
    </row>
    <row r="172" spans="2:10" x14ac:dyDescent="0.25">
      <c r="B172" s="54" t="s">
        <v>138</v>
      </c>
      <c r="C172" s="54" t="s">
        <v>153</v>
      </c>
      <c r="D172" s="54"/>
      <c r="E172" s="54">
        <v>0.17</v>
      </c>
      <c r="F172" s="54">
        <v>42.225999999999999</v>
      </c>
      <c r="G172" s="54">
        <v>2</v>
      </c>
      <c r="H172" s="54">
        <v>44.582999999999998</v>
      </c>
      <c r="I172" s="54">
        <v>3.3340000000000001</v>
      </c>
      <c r="J172" s="54">
        <v>7.4779999999999998</v>
      </c>
    </row>
    <row r="173" spans="2:10" x14ac:dyDescent="0.25">
      <c r="B173" s="54"/>
      <c r="C173" s="54" t="s">
        <v>154</v>
      </c>
      <c r="D173" s="54"/>
      <c r="E173" s="54">
        <v>0.183</v>
      </c>
      <c r="F173" s="54">
        <v>46.941000000000003</v>
      </c>
      <c r="G173" s="54"/>
      <c r="H173" s="54"/>
      <c r="I173" s="54"/>
      <c r="J173" s="54"/>
    </row>
    <row r="174" spans="2:10" x14ac:dyDescent="0.25">
      <c r="B174" s="54" t="s">
        <v>98</v>
      </c>
      <c r="C174" s="54" t="s">
        <v>88</v>
      </c>
      <c r="D174" s="54">
        <v>0</v>
      </c>
      <c r="E174" s="54">
        <v>4.7E-2</v>
      </c>
      <c r="F174" s="54" t="s">
        <v>112</v>
      </c>
      <c r="G174" s="54">
        <v>0</v>
      </c>
      <c r="H174" s="54" t="s">
        <v>99</v>
      </c>
      <c r="I174" s="54" t="s">
        <v>99</v>
      </c>
      <c r="J174" s="54" t="s">
        <v>99</v>
      </c>
    </row>
    <row r="175" spans="2:10" x14ac:dyDescent="0.25">
      <c r="B175" s="54"/>
      <c r="C175" s="54" t="s">
        <v>89</v>
      </c>
      <c r="D175" s="54">
        <v>0</v>
      </c>
      <c r="E175" s="54">
        <v>4.5999999999999999E-2</v>
      </c>
      <c r="F175" s="54" t="s">
        <v>112</v>
      </c>
      <c r="G175" s="54"/>
      <c r="H175" s="54"/>
      <c r="I175" s="54"/>
      <c r="J175" s="54"/>
    </row>
    <row r="176" spans="2:10" x14ac:dyDescent="0.25">
      <c r="B176" s="54" t="s">
        <v>43</v>
      </c>
      <c r="C176" s="54" t="s">
        <v>91</v>
      </c>
      <c r="D176" s="54">
        <v>12.5</v>
      </c>
      <c r="E176" s="54">
        <v>8.5000000000000006E-2</v>
      </c>
      <c r="F176" s="54">
        <v>12.201000000000001</v>
      </c>
      <c r="G176" s="54">
        <v>2</v>
      </c>
      <c r="H176" s="54">
        <v>13.602</v>
      </c>
      <c r="I176" s="54">
        <v>1.98</v>
      </c>
      <c r="J176" s="54">
        <v>14.558</v>
      </c>
    </row>
    <row r="177" spans="2:10" x14ac:dyDescent="0.25">
      <c r="B177" s="54"/>
      <c r="C177" s="54" t="s">
        <v>90</v>
      </c>
      <c r="D177" s="54">
        <v>12.5</v>
      </c>
      <c r="E177" s="54">
        <v>9.2999999999999999E-2</v>
      </c>
      <c r="F177" s="54">
        <v>15.002000000000001</v>
      </c>
      <c r="G177" s="54"/>
      <c r="H177" s="54"/>
      <c r="I177" s="54"/>
      <c r="J177" s="54"/>
    </row>
    <row r="178" spans="2:10" x14ac:dyDescent="0.25">
      <c r="B178" s="54" t="s">
        <v>49</v>
      </c>
      <c r="C178" s="54" t="s">
        <v>92</v>
      </c>
      <c r="D178" s="54">
        <v>50</v>
      </c>
      <c r="E178" s="54">
        <v>0.192</v>
      </c>
      <c r="F178" s="54">
        <v>50.06</v>
      </c>
      <c r="G178" s="54">
        <v>2</v>
      </c>
      <c r="H178" s="54">
        <v>50.308</v>
      </c>
      <c r="I178" s="54">
        <v>0.35099999999999998</v>
      </c>
      <c r="J178" s="54">
        <v>0.69799999999999995</v>
      </c>
    </row>
    <row r="179" spans="2:10" x14ac:dyDescent="0.25">
      <c r="B179" s="54"/>
      <c r="C179" s="54" t="s">
        <v>93</v>
      </c>
      <c r="D179" s="54">
        <v>50</v>
      </c>
      <c r="E179" s="54">
        <v>0.19400000000000001</v>
      </c>
      <c r="F179" s="54">
        <v>50.555999999999997</v>
      </c>
      <c r="G179" s="54"/>
      <c r="H179" s="54"/>
      <c r="I179" s="54"/>
      <c r="J179" s="54"/>
    </row>
    <row r="180" spans="2:10" x14ac:dyDescent="0.25">
      <c r="B180" s="54" t="s">
        <v>102</v>
      </c>
      <c r="C180" s="54" t="s">
        <v>94</v>
      </c>
      <c r="D180" s="54">
        <v>100</v>
      </c>
      <c r="E180" s="54">
        <v>0.33</v>
      </c>
      <c r="F180" s="54">
        <v>99.084999999999994</v>
      </c>
      <c r="G180" s="54">
        <v>2</v>
      </c>
      <c r="H180" s="54">
        <v>100.60899999999999</v>
      </c>
      <c r="I180" s="54">
        <v>2.1560000000000001</v>
      </c>
      <c r="J180" s="54">
        <v>2.1429999999999998</v>
      </c>
    </row>
    <row r="181" spans="2:10" x14ac:dyDescent="0.25">
      <c r="B181" s="54"/>
      <c r="C181" s="54" t="s">
        <v>95</v>
      </c>
      <c r="D181" s="54">
        <v>100</v>
      </c>
      <c r="E181" s="54">
        <v>0.33900000000000002</v>
      </c>
      <c r="F181" s="54">
        <v>102.133</v>
      </c>
      <c r="G181" s="54"/>
      <c r="H181" s="54"/>
      <c r="I181" s="54"/>
      <c r="J181" s="54"/>
    </row>
    <row r="182" spans="2:10" x14ac:dyDescent="0.25">
      <c r="B182" s="54" t="s">
        <v>55</v>
      </c>
      <c r="C182" s="54" t="s">
        <v>66</v>
      </c>
      <c r="D182" s="54">
        <v>150</v>
      </c>
      <c r="E182" s="54">
        <v>0.46899999999999997</v>
      </c>
      <c r="F182" s="54">
        <v>148.358</v>
      </c>
      <c r="G182" s="54">
        <v>2</v>
      </c>
      <c r="H182" s="54">
        <v>149.935</v>
      </c>
      <c r="I182" s="54">
        <v>2.2309999999999999</v>
      </c>
      <c r="J182" s="54">
        <v>1.488</v>
      </c>
    </row>
    <row r="183" spans="2:10" x14ac:dyDescent="0.25">
      <c r="B183" s="54"/>
      <c r="C183" s="54" t="s">
        <v>67</v>
      </c>
      <c r="D183" s="54">
        <v>150</v>
      </c>
      <c r="E183" s="54">
        <v>0.47799999999999998</v>
      </c>
      <c r="F183" s="54">
        <v>151.51300000000001</v>
      </c>
      <c r="G183" s="54"/>
      <c r="H183" s="54"/>
      <c r="I183" s="54"/>
      <c r="J183" s="54"/>
    </row>
    <row r="184" spans="2:10" x14ac:dyDescent="0.25">
      <c r="B184" s="54" t="s">
        <v>134</v>
      </c>
      <c r="C184" s="54" t="s">
        <v>68</v>
      </c>
      <c r="D184" s="54">
        <v>200</v>
      </c>
      <c r="E184" s="54">
        <v>0.59699999999999998</v>
      </c>
      <c r="F184" s="54">
        <v>193.51900000000001</v>
      </c>
      <c r="G184" s="54">
        <v>2</v>
      </c>
      <c r="H184" s="54">
        <v>199.59800000000001</v>
      </c>
      <c r="I184" s="54">
        <v>8.5980000000000008</v>
      </c>
      <c r="J184" s="54">
        <v>4.3070000000000004</v>
      </c>
    </row>
    <row r="185" spans="2:10" x14ac:dyDescent="0.25">
      <c r="B185" s="54"/>
      <c r="C185" s="54" t="s">
        <v>69</v>
      </c>
      <c r="D185" s="54">
        <v>200</v>
      </c>
      <c r="E185" s="54">
        <v>0.63100000000000001</v>
      </c>
      <c r="F185" s="54">
        <v>205.67699999999999</v>
      </c>
      <c r="G185" s="54"/>
      <c r="H185" s="54"/>
      <c r="I185" s="54"/>
      <c r="J185" s="54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8745-824E-4D08-A93E-4EB7AE18A7DD}">
  <dimension ref="A1:AA1000"/>
  <sheetViews>
    <sheetView topLeftCell="B1" zoomScale="89" zoomScaleNormal="50" workbookViewId="0">
      <selection activeCell="I37" sqref="I37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156</v>
      </c>
      <c r="B2" s="20">
        <f>TRIG_10_24_24_RawData!E83</f>
        <v>4.7E-2</v>
      </c>
      <c r="C2" s="20">
        <f>AVERAGE(B2,B3)</f>
        <v>4.65E-2</v>
      </c>
      <c r="D2" s="20">
        <f>100*(STDEV(B2,B3)/C2)</f>
        <v>1.5206597444872005</v>
      </c>
      <c r="E2" s="1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F2</f>
        <v>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156</v>
      </c>
      <c r="B3" s="20">
        <f>TRIG_10_24_24_RawData!E84</f>
        <v>4.5999999999999999E-2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F4</f>
        <v>4.2499999999999996E-2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157</v>
      </c>
      <c r="B4" s="20">
        <f>TRIG_10_24_24_RawData!E85</f>
        <v>8.5000000000000006E-2</v>
      </c>
      <c r="C4" s="20">
        <f>AVERAGE(B4,B5)</f>
        <v>8.8999999999999996E-2</v>
      </c>
      <c r="D4" s="20">
        <f>100*(STDEV(B4,B5)/C4)</f>
        <v>6.3560160106655914</v>
      </c>
      <c r="E4" s="19"/>
      <c r="F4" s="20">
        <f>C4-$C$2</f>
        <v>4.2499999999999996E-2</v>
      </c>
      <c r="G4" s="19"/>
      <c r="H4" s="20">
        <v>12.5</v>
      </c>
      <c r="I4" s="19"/>
      <c r="J4" s="19"/>
      <c r="K4" s="21">
        <v>50</v>
      </c>
      <c r="L4" s="20">
        <f>F6</f>
        <v>0.14650000000000002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157</v>
      </c>
      <c r="B5" s="20">
        <f>TRIG_10_24_24_RawData!E86</f>
        <v>9.2999999999999999E-2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F8</f>
        <v>0.28800000000000003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158</v>
      </c>
      <c r="B6" s="20">
        <f>TRIG_10_24_24_RawData!E87</f>
        <v>0.192</v>
      </c>
      <c r="C6" s="20">
        <f>AVERAGE(B6,B7)</f>
        <v>0.193</v>
      </c>
      <c r="D6" s="20">
        <f>100*(STDEV(B6,B7)/C6)</f>
        <v>0.73275314112595669</v>
      </c>
      <c r="E6" s="19"/>
      <c r="F6" s="20">
        <f>C6-$C$2</f>
        <v>0.14650000000000002</v>
      </c>
      <c r="G6" s="19"/>
      <c r="H6" s="20">
        <v>50</v>
      </c>
      <c r="I6" s="19"/>
      <c r="J6" s="19"/>
      <c r="K6" s="21">
        <v>150</v>
      </c>
      <c r="L6" s="20">
        <f>F10</f>
        <v>0.42699999999999999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158</v>
      </c>
      <c r="B7" s="20">
        <f>TRIG_10_24_24_RawData!E88</f>
        <v>0.19400000000000001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F12</f>
        <v>0.5675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160</v>
      </c>
      <c r="B8" s="20">
        <f>TRIG_10_24_24_RawData!E89</f>
        <v>0.33</v>
      </c>
      <c r="C8" s="20">
        <f>AVERAGE(B8,B9)</f>
        <v>0.33450000000000002</v>
      </c>
      <c r="D8" s="20">
        <f>100*(STDEV(B8,B9)/C8)</f>
        <v>1.9025294561073041</v>
      </c>
      <c r="E8" s="19"/>
      <c r="F8" s="20">
        <f>C8-$C$2</f>
        <v>0.28800000000000003</v>
      </c>
      <c r="G8" s="19"/>
      <c r="H8" s="20">
        <v>100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160</v>
      </c>
      <c r="B9" s="20">
        <f>TRIG_10_24_24_RawData!E90</f>
        <v>0.33900000000000002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2.8E-3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159</v>
      </c>
      <c r="B10" s="20">
        <f>TRIG_10_24_24_RawData!E91</f>
        <v>0.46899999999999997</v>
      </c>
      <c r="C10" s="20">
        <f>AVERAGE(B10,B11)</f>
        <v>0.47349999999999998</v>
      </c>
      <c r="D10" s="20">
        <f>100*(STDEV(B10,B11)/C10)</f>
        <v>1.3440255608614431</v>
      </c>
      <c r="E10" s="19"/>
      <c r="F10" s="20">
        <f>C10-$C$2</f>
        <v>0.42699999999999999</v>
      </c>
      <c r="G10" s="19"/>
      <c r="H10" s="20">
        <v>150</v>
      </c>
      <c r="I10" s="19"/>
      <c r="J10" s="20"/>
      <c r="K10" s="18" t="s">
        <v>15</v>
      </c>
      <c r="L10" s="20">
        <v>4.3E-3</v>
      </c>
      <c r="M10" s="20"/>
    </row>
    <row r="11" spans="1:26" ht="15.75" customHeight="1" x14ac:dyDescent="0.3">
      <c r="A11" s="20" t="s">
        <v>159</v>
      </c>
      <c r="B11" s="20">
        <f>TRIG_10_24_24_RawData!E92</f>
        <v>0.47799999999999998</v>
      </c>
      <c r="C11" s="20"/>
      <c r="D11" s="20"/>
      <c r="E11" s="19"/>
      <c r="F11" s="18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161</v>
      </c>
      <c r="B12" s="20">
        <f>TRIG_10_24_24_RawData!E93</f>
        <v>0.59699999999999998</v>
      </c>
      <c r="C12" s="20">
        <f>AVERAGE(B12,B13)</f>
        <v>0.61399999999999999</v>
      </c>
      <c r="D12" s="20">
        <f>100*(STDEV(B12,B13)/C12)</f>
        <v>3.9155750098277911</v>
      </c>
      <c r="E12" s="19"/>
      <c r="F12" s="20">
        <f>C12-$C$2</f>
        <v>0.5675</v>
      </c>
      <c r="G12" s="20"/>
      <c r="H12" s="20">
        <v>200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161</v>
      </c>
      <c r="B13" s="20">
        <f>TRIG_10_24_24_RawData!E94</f>
        <v>0.63100000000000001</v>
      </c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B14" s="20"/>
      <c r="G14" s="20"/>
      <c r="H14" s="19"/>
      <c r="I14" s="20"/>
      <c r="J14" s="20"/>
      <c r="K14" s="20"/>
      <c r="L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18" t="s">
        <v>11</v>
      </c>
      <c r="B15" s="18" t="s">
        <v>3</v>
      </c>
      <c r="C15" s="18" t="s">
        <v>4</v>
      </c>
      <c r="D15" s="18" t="s">
        <v>0</v>
      </c>
      <c r="E15" s="18" t="s">
        <v>5</v>
      </c>
      <c r="F15" s="18" t="s">
        <v>391</v>
      </c>
      <c r="H15" s="26" t="s">
        <v>125</v>
      </c>
      <c r="J15" s="27" t="s">
        <v>118</v>
      </c>
      <c r="K15" s="28" t="s">
        <v>119</v>
      </c>
      <c r="L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A16" s="29" t="s">
        <v>115</v>
      </c>
      <c r="B16" s="20">
        <f>TRIG_10_24_24_RawData!E140</f>
        <v>0.39700000000000002</v>
      </c>
      <c r="C16" s="24">
        <f>AVERAGE(B16,B17)</f>
        <v>0.40949999999999998</v>
      </c>
      <c r="D16" s="24">
        <f>100*(STDEV(B16,B17)/C16)</f>
        <v>4.3168912160350823</v>
      </c>
      <c r="E16" s="24">
        <f>C16-$C$2</f>
        <v>0.36299999999999999</v>
      </c>
      <c r="F16" s="24">
        <f>(E16-$L$10)/$L$9</f>
        <v>128.10714285714283</v>
      </c>
      <c r="H16" s="18" t="s">
        <v>175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24"/>
      <c r="B17" s="20">
        <f>TRIG_10_24_24_RawData!E141</f>
        <v>0.42199999999999999</v>
      </c>
      <c r="C17" s="24"/>
      <c r="D17" s="24"/>
      <c r="E17" s="24"/>
      <c r="F17" s="24"/>
      <c r="H17" s="18" t="s">
        <v>178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A18" s="29" t="s">
        <v>116</v>
      </c>
      <c r="B18" s="20">
        <f>TRIG_10_24_24_RawData!E142</f>
        <v>0.216</v>
      </c>
      <c r="C18" s="24">
        <f>AVERAGE(B18,B19)</f>
        <v>0.22699999999999998</v>
      </c>
      <c r="D18" s="24">
        <f>100*(STDEV(B18,B19)/C18)</f>
        <v>6.8530172626008996</v>
      </c>
      <c r="E18" s="24">
        <f>C18-$C$2</f>
        <v>0.18049999999999999</v>
      </c>
      <c r="F18" s="24">
        <f>(E18-$L$10)/$L$9</f>
        <v>62.928571428571431</v>
      </c>
      <c r="G18" s="20">
        <f>F18*2</f>
        <v>125.85714285714286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4"/>
      <c r="B19" s="20">
        <f>TRIG_10_24_24_RawData!E143</f>
        <v>0.23799999999999999</v>
      </c>
      <c r="C19" s="24"/>
      <c r="D19" s="24"/>
      <c r="E19" s="24"/>
      <c r="F19" s="24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29" t="s">
        <v>117</v>
      </c>
      <c r="B20" s="56">
        <f>TRIG_10_24_24_RawData!E144</f>
        <v>0.13200000000000001</v>
      </c>
      <c r="C20" s="31">
        <f>AVERAGE(B20,B21)</f>
        <v>0.11849999999999999</v>
      </c>
      <c r="D20" s="31">
        <f>100*(STDEV(B20,B21)/C20)</f>
        <v>16.111293748554331</v>
      </c>
      <c r="E20" s="31">
        <f>C20-$C$2</f>
        <v>7.1999999999999995E-2</v>
      </c>
      <c r="F20" s="31">
        <f>(E20-$L$10)/$L$9</f>
        <v>24.178571428571427</v>
      </c>
      <c r="G20" t="s">
        <v>177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4"/>
      <c r="B21" s="56">
        <f>TRIG_10_24_24_RawData!E145</f>
        <v>0.105</v>
      </c>
      <c r="C21" s="31"/>
      <c r="D21" s="31"/>
      <c r="E21" s="31"/>
      <c r="F21" s="31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55" t="s">
        <v>121</v>
      </c>
      <c r="B22" s="20">
        <f>TRIG_10_24_24_RawData!E146</f>
        <v>0.21299999999999999</v>
      </c>
      <c r="C22" s="24">
        <f>AVERAGE(B22,B23)</f>
        <v>0.2135</v>
      </c>
      <c r="D22" s="25">
        <f>100*(STDEV(B22,B23)/C22)</f>
        <v>0.33119755559088909</v>
      </c>
      <c r="E22" s="24">
        <f>C22-$C$2</f>
        <v>0.16699999999999998</v>
      </c>
      <c r="F22" s="24">
        <f>(E22-$L$10)/$L$9</f>
        <v>58.107142857142854</v>
      </c>
      <c r="J22" s="37" t="s">
        <v>181</v>
      </c>
      <c r="K22" s="37" t="s">
        <v>182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24"/>
      <c r="B23" s="20">
        <f>TRIG_10_24_24_RawData!E147</f>
        <v>0.214</v>
      </c>
      <c r="C23" s="24"/>
      <c r="D23" s="24"/>
      <c r="E23" s="24"/>
      <c r="F23" s="24"/>
      <c r="J23" s="59" t="s">
        <v>183</v>
      </c>
      <c r="K23" s="59" t="s">
        <v>35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0" t="s">
        <v>122</v>
      </c>
      <c r="B24" s="20">
        <f>TRIG_10_24_24_RawData!E148</f>
        <v>0.122</v>
      </c>
      <c r="C24" s="25">
        <f>AVERAGE(B24,B25)</f>
        <v>0.122</v>
      </c>
      <c r="D24" s="25">
        <f>100*(STDEV(B24,B25)/C24)</f>
        <v>0</v>
      </c>
      <c r="E24" s="24">
        <f>C24-$C$2</f>
        <v>7.5499999999999998E-2</v>
      </c>
      <c r="F24" s="24">
        <f>(E24-$L$10)/$L$9</f>
        <v>25.428571428571427</v>
      </c>
      <c r="G24">
        <f>F24*2</f>
        <v>50.857142857142854</v>
      </c>
      <c r="H24" s="20"/>
      <c r="I24" s="20"/>
      <c r="J24" s="59" t="s">
        <v>184</v>
      </c>
      <c r="K24" s="59" t="s">
        <v>41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25"/>
      <c r="B25" s="20">
        <f>TRIG_10_24_24_RawData!E149</f>
        <v>0.122</v>
      </c>
      <c r="C25" s="25"/>
      <c r="D25" s="25"/>
      <c r="E25" s="25"/>
      <c r="F25" s="25"/>
      <c r="H25" s="20"/>
      <c r="I25" s="20"/>
      <c r="J25" s="59" t="s">
        <v>185</v>
      </c>
      <c r="K25" s="59" t="s">
        <v>42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 t="s">
        <v>123</v>
      </c>
      <c r="B26" s="56">
        <f>TRIG_10_24_24_RawData!E150</f>
        <v>7.9000000000000001E-2</v>
      </c>
      <c r="C26" s="32">
        <f>AVERAGE(B26,B27)</f>
        <v>6.25E-2</v>
      </c>
      <c r="D26" s="32">
        <f>100*(STDEV(B26,B27)/C26)</f>
        <v>37.335238046649707</v>
      </c>
      <c r="E26" s="31">
        <f>C26-$C$2</f>
        <v>1.6E-2</v>
      </c>
      <c r="F26" s="31">
        <f>(E26-$L$10)/$L$9</f>
        <v>4.1785714285714288</v>
      </c>
      <c r="G26" t="s">
        <v>176</v>
      </c>
      <c r="H26" s="20"/>
      <c r="I26" s="20"/>
      <c r="J26" s="59" t="s">
        <v>186</v>
      </c>
      <c r="K26" s="59" t="s">
        <v>47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25"/>
      <c r="B27" s="56">
        <f>TRIG_10_24_24_RawData!E151</f>
        <v>4.5999999999999999E-2</v>
      </c>
      <c r="C27" s="32"/>
      <c r="D27" s="32"/>
      <c r="E27" s="32"/>
      <c r="F27" s="32"/>
      <c r="H27" s="18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38" t="s">
        <v>162</v>
      </c>
      <c r="B28" s="20">
        <f>TRIG_10_24_24_RawData!E152</f>
        <v>0.52400000000000002</v>
      </c>
      <c r="C28" s="25">
        <f>AVERAGE(B28,B29)</f>
        <v>0.504</v>
      </c>
      <c r="D28" s="25">
        <f>100*(STDEV(B28,B29)/C28)</f>
        <v>5.61195858084562</v>
      </c>
      <c r="E28" s="24">
        <f>C28-$C$2</f>
        <v>0.45750000000000002</v>
      </c>
      <c r="F28" s="24">
        <f>(E28-$L$10)/$L$9</f>
        <v>161.85714285714286</v>
      </c>
      <c r="H28" s="18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25"/>
      <c r="B29" s="20">
        <f>TRIG_10_24_24_RawData!E153</f>
        <v>0.48399999999999999</v>
      </c>
      <c r="C29" s="25"/>
      <c r="D29" s="25"/>
      <c r="E29" s="25"/>
      <c r="F29" s="25"/>
      <c r="H29" s="18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0" t="s">
        <v>163</v>
      </c>
      <c r="B30" s="20">
        <f>TRIG_10_24_24_RawData!E154</f>
        <v>0.69399999999999995</v>
      </c>
      <c r="C30" s="25">
        <f>AVERAGE(B30,B31)</f>
        <v>0.71649999999999991</v>
      </c>
      <c r="D30" s="25">
        <f>100*(STDEV(B30,B31)/C30)</f>
        <v>4.4410056041025365</v>
      </c>
      <c r="E30" s="25">
        <f>C30-$C$2</f>
        <v>0.66999999999999993</v>
      </c>
      <c r="F30" s="57">
        <f>(E30-$L$10)/$L$9</f>
        <v>237.75</v>
      </c>
      <c r="G30" t="s">
        <v>174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25"/>
      <c r="B31" s="20">
        <f>TRIG_10_24_24_RawData!E155</f>
        <v>0.73899999999999999</v>
      </c>
      <c r="C31" s="25"/>
      <c r="D31" s="25"/>
      <c r="E31" s="25"/>
      <c r="F31" s="25"/>
      <c r="G31" s="20" t="s">
        <v>180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 t="s">
        <v>164</v>
      </c>
      <c r="B32" s="56">
        <f>TRIG_10_24_24_RawData!E156</f>
        <v>4.5999999999999999E-2</v>
      </c>
      <c r="C32" s="32">
        <f>AVERAGE(B32,B33)</f>
        <v>4.65E-2</v>
      </c>
      <c r="D32" s="32">
        <f>100*(STDEV(B32,B33)/C32)</f>
        <v>1.5206597444872005</v>
      </c>
      <c r="E32" s="32">
        <f>C32-$C$2</f>
        <v>0</v>
      </c>
      <c r="F32" s="32">
        <f>(E32-$L$10)/$L$9</f>
        <v>-1.5357142857142858</v>
      </c>
      <c r="G32" t="s">
        <v>173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25"/>
      <c r="B33" s="56">
        <f>TRIG_10_24_24_RawData!E157</f>
        <v>4.7E-2</v>
      </c>
      <c r="C33" s="32"/>
      <c r="D33" s="32"/>
      <c r="E33" s="32"/>
      <c r="F33" s="32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0" t="s">
        <v>165</v>
      </c>
      <c r="B34" s="20">
        <f>TRIG_10_24_24_RawData!E158</f>
        <v>0.28299999999999997</v>
      </c>
      <c r="C34" s="24">
        <f>AVERAGE(B34,B35)</f>
        <v>0.30099999999999999</v>
      </c>
      <c r="D34" s="24">
        <f>100*(STDEV(B34,B35)/C34)</f>
        <v>8.4570910706696782</v>
      </c>
      <c r="E34" s="24">
        <f>C34-$C$2</f>
        <v>0.2545</v>
      </c>
      <c r="F34" s="24">
        <f>(E34-$L$10)/$L$9</f>
        <v>89.357142857142847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24"/>
      <c r="B35" s="20">
        <f>TRIG_10_24_24_RawData!E159</f>
        <v>0.31900000000000001</v>
      </c>
      <c r="C35" s="24"/>
      <c r="D35" s="24"/>
      <c r="E35" s="24"/>
      <c r="F35" s="24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 t="s">
        <v>166</v>
      </c>
      <c r="B36" s="20">
        <f>TRIG_10_24_24_RawData!E160</f>
        <v>9.8000000000000004E-2</v>
      </c>
      <c r="C36" s="24">
        <f>AVERAGE(B36,B37)</f>
        <v>0.10200000000000001</v>
      </c>
      <c r="D36" s="24">
        <f>100*(STDEV(B36,B37)/C36)</f>
        <v>5.5459355387180151</v>
      </c>
      <c r="E36" s="24">
        <f>C36-$C$2</f>
        <v>5.5500000000000008E-2</v>
      </c>
      <c r="F36" s="24">
        <f>(E36-$L$10)/$L$9</f>
        <v>18.285714285714288</v>
      </c>
      <c r="H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24"/>
      <c r="B37" s="20">
        <f>TRIG_10_24_24_RawData!E161</f>
        <v>0.106</v>
      </c>
      <c r="C37" s="24"/>
      <c r="D37" s="24"/>
      <c r="E37" s="24"/>
      <c r="F37" s="24"/>
      <c r="H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38" t="s">
        <v>167</v>
      </c>
      <c r="B38" s="20">
        <f>TRIG_10_24_24_RawData!E162</f>
        <v>0.23300000000000001</v>
      </c>
      <c r="C38" s="24">
        <f>AVERAGE(B38,B39)</f>
        <v>0.22600000000000001</v>
      </c>
      <c r="D38" s="24">
        <f>100*(STDEV(B38,B39)/C38)</f>
        <v>4.3803074940759616</v>
      </c>
      <c r="E38" s="24">
        <f>C38-$C$2</f>
        <v>0.17949999999999999</v>
      </c>
      <c r="F38" s="24">
        <f>(E38-$L$10)/$L$9</f>
        <v>62.571428571428569</v>
      </c>
      <c r="H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24"/>
      <c r="B39" s="20">
        <f>TRIG_10_24_24_RawData!E163</f>
        <v>0.219</v>
      </c>
      <c r="C39" s="24"/>
      <c r="D39" s="24"/>
      <c r="E39" s="24"/>
      <c r="F39" s="24"/>
      <c r="H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 t="s">
        <v>168</v>
      </c>
      <c r="B40" s="20">
        <f>TRIG_10_24_24_RawData!E164</f>
        <v>0.46800000000000003</v>
      </c>
      <c r="C40" s="24">
        <f>AVERAGE(B40,B41)</f>
        <v>0.497</v>
      </c>
      <c r="D40" s="24">
        <f>100*(STDEV(B40,B41)/C40)</f>
        <v>8.2519503639476373</v>
      </c>
      <c r="E40" s="24">
        <f>C40-$C$2</f>
        <v>0.45050000000000001</v>
      </c>
      <c r="F40" s="24">
        <f>(E40-$L$10)/$L$9</f>
        <v>159.35714285714286</v>
      </c>
      <c r="H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24"/>
      <c r="B41" s="20">
        <f>TRIG_10_24_24_RawData!E165</f>
        <v>0.52600000000000002</v>
      </c>
      <c r="C41" s="24"/>
      <c r="D41" s="24"/>
      <c r="E41" s="24"/>
      <c r="F41" s="24"/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 t="s">
        <v>169</v>
      </c>
      <c r="B42" s="20">
        <f>TRIG_10_24_24_RawData!E166</f>
        <v>0.31</v>
      </c>
      <c r="C42" s="24">
        <f>AVERAGE(B42,B43)</f>
        <v>0.312</v>
      </c>
      <c r="D42" s="25">
        <f>100*(STDEV(B42,B43)/C42)</f>
        <v>0.90654715536736941</v>
      </c>
      <c r="E42" s="24">
        <f>C42-$C$2</f>
        <v>0.26550000000000001</v>
      </c>
      <c r="F42" s="24">
        <f>(E42-$L$10)/$L$9</f>
        <v>93.285714285714278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24"/>
      <c r="B43" s="20">
        <f>TRIG_10_24_24_RawData!E167</f>
        <v>0.314</v>
      </c>
      <c r="C43" s="24"/>
      <c r="D43" s="24"/>
      <c r="E43" s="24"/>
      <c r="F43" s="24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0" t="s">
        <v>170</v>
      </c>
      <c r="B44" s="20">
        <f>TRIG_10_24_24_RawData!E168</f>
        <v>0.193</v>
      </c>
      <c r="C44" s="25">
        <f>AVERAGE(B44,B45)</f>
        <v>0.19400000000000001</v>
      </c>
      <c r="D44" s="25">
        <f>100*(STDEV(B44,B45)/C44)</f>
        <v>0.7289760630789156</v>
      </c>
      <c r="E44" s="24">
        <f>C44-$C$2</f>
        <v>0.14750000000000002</v>
      </c>
      <c r="F44" s="24">
        <f>(E44-$L$10)/$L$9</f>
        <v>51.142857142857153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25"/>
      <c r="B45" s="20">
        <f>TRIG_10_24_24_RawData!E169</f>
        <v>0.19500000000000001</v>
      </c>
      <c r="C45" s="25"/>
      <c r="D45" s="25"/>
      <c r="E45" s="25"/>
      <c r="F45" s="2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 t="s">
        <v>171</v>
      </c>
      <c r="B46" s="20">
        <f>TRIG_10_24_24_RawData!E170</f>
        <v>0.20699999999999999</v>
      </c>
      <c r="C46" s="25">
        <f>AVERAGE(B46,B47)</f>
        <v>0.20549999999999999</v>
      </c>
      <c r="D46" s="25">
        <f>100*(STDEV(B46,B47)/C46)</f>
        <v>1.0322726732650338</v>
      </c>
      <c r="E46" s="24">
        <f>C46-$C$2</f>
        <v>0.15899999999999997</v>
      </c>
      <c r="F46" s="24">
        <f>(E46-$L$10)/$L$9</f>
        <v>55.249999999999993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25"/>
      <c r="B47" s="20">
        <f>TRIG_10_24_24_RawData!E171</f>
        <v>0.20399999999999999</v>
      </c>
      <c r="C47" s="25"/>
      <c r="D47" s="25"/>
      <c r="E47" s="25"/>
      <c r="F47" s="25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 t="s">
        <v>172</v>
      </c>
      <c r="B48" s="20">
        <f>TRIG_10_24_24_RawData!E172</f>
        <v>0.17</v>
      </c>
      <c r="C48" s="25">
        <f>AVERAGE(B48,B49)</f>
        <v>0.17649999999999999</v>
      </c>
      <c r="D48" s="25">
        <f>100*(STDEV(B48,B49)/C48)</f>
        <v>5.2081519294193237</v>
      </c>
      <c r="E48" s="24">
        <f>C48-$C$2</f>
        <v>0.13</v>
      </c>
      <c r="F48" s="24">
        <f>(E48-$L$10)/$L$9</f>
        <v>44.892857142857146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25"/>
      <c r="B49" s="20">
        <f>TRIG_10_24_24_RawData!E173</f>
        <v>0.183</v>
      </c>
      <c r="C49" s="25"/>
      <c r="D49" s="25"/>
      <c r="E49" s="25"/>
      <c r="F49" s="25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26" t="s">
        <v>187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58" t="s">
        <v>179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8:26" ht="15.75" customHeight="1" x14ac:dyDescent="0.3"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8:26" ht="15.75" customHeight="1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8:26" ht="15.75" customHeight="1" x14ac:dyDescent="0.3"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8:26" ht="15.75" customHeight="1" x14ac:dyDescent="0.3"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8:26" ht="15.75" customHeight="1" x14ac:dyDescent="0.3"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8:26" ht="15.75" customHeight="1" x14ac:dyDescent="0.3"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8:26" ht="15.75" customHeight="1" x14ac:dyDescent="0.3"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8:26" ht="15.75" customHeight="1" x14ac:dyDescent="0.3"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8:26" ht="15.75" customHeight="1" x14ac:dyDescent="0.3"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8:26" ht="15.75" customHeight="1" x14ac:dyDescent="0.3"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8:26" ht="15.75" customHeight="1" x14ac:dyDescent="0.3"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8:26" ht="15.75" customHeight="1" x14ac:dyDescent="0.3"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8:26" ht="15.75" customHeight="1" x14ac:dyDescent="0.3"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8:26" ht="15.75" customHeight="1" x14ac:dyDescent="0.3"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8:26" ht="15.75" customHeight="1" x14ac:dyDescent="0.3"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8:26" ht="15.75" customHeight="1" x14ac:dyDescent="0.3"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8:26" ht="15.75" customHeight="1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8:26" ht="15.75" customHeight="1" x14ac:dyDescent="0.3"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8:26" ht="15.75" customHeight="1" x14ac:dyDescent="0.3"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8:26" ht="15.75" customHeight="1" x14ac:dyDescent="0.3"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8:26" ht="15.75" customHeight="1" x14ac:dyDescent="0.3"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8:26" ht="15.75" customHeight="1" x14ac:dyDescent="0.3"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8:26" ht="15.75" customHeight="1" x14ac:dyDescent="0.3"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8:26" ht="15.75" customHeight="1" x14ac:dyDescent="0.3"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8:26" ht="15.75" customHeight="1" x14ac:dyDescent="0.3"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8:26" ht="15.75" customHeight="1" x14ac:dyDescent="0.3"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8:26" ht="15.75" customHeight="1" x14ac:dyDescent="0.3"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8:26" ht="15.75" customHeight="1" x14ac:dyDescent="0.3"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8:26" ht="15.75" customHeight="1" x14ac:dyDescent="0.3"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8:26" ht="15.75" customHeight="1" x14ac:dyDescent="0.3"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8:26" ht="15.75" customHeight="1" x14ac:dyDescent="0.3"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8:26" ht="15.75" customHeight="1" x14ac:dyDescent="0.3"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1269-A3D5-4DD8-A50A-9271C72B6730}">
  <dimension ref="A1:AA1000"/>
  <sheetViews>
    <sheetView zoomScale="77" zoomScaleNormal="100" workbookViewId="0">
      <selection activeCell="K4" sqref="K4:L8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TRIG_10_10_24_RawData!E86</f>
        <v>7.1999999999999995E-2</v>
      </c>
      <c r="C2" s="20">
        <f>AVERAGE(B2,B3)</f>
        <v>6.3500000000000001E-2</v>
      </c>
      <c r="D2" s="36">
        <f>100*(STDEV(B2,B3)/C2)</f>
        <v>18.930417764049228</v>
      </c>
      <c r="E2" s="19"/>
      <c r="F2" s="20">
        <f>C2-$C$2</f>
        <v>0</v>
      </c>
      <c r="G2" s="19"/>
      <c r="H2" s="20">
        <v>0</v>
      </c>
      <c r="I2" s="19"/>
      <c r="J2" s="19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TRIG_10_10_24_RawData!E87</f>
        <v>5.5E-2</v>
      </c>
      <c r="C3" s="20"/>
      <c r="D3" s="20"/>
      <c r="E3" s="19"/>
      <c r="F3" s="20"/>
      <c r="G3" s="19"/>
      <c r="H3" s="20"/>
      <c r="I3" s="19"/>
      <c r="J3" s="19"/>
      <c r="K3" s="99" t="s">
        <v>8</v>
      </c>
      <c r="L3" s="100"/>
      <c r="M3" s="20"/>
      <c r="N3" s="20" t="s">
        <v>119</v>
      </c>
      <c r="O3" s="20"/>
      <c r="P3" s="20"/>
      <c r="Q3" s="20" t="s">
        <v>118</v>
      </c>
      <c r="R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7</v>
      </c>
      <c r="B4" s="20">
        <f>TRIG_10_10_24_RawData!E108</f>
        <v>5.5E-2</v>
      </c>
      <c r="C4" s="20">
        <f>AVERAGE(B4,B5)</f>
        <v>5.3499999999999999E-2</v>
      </c>
      <c r="D4" s="20">
        <f>100*(STDEV(B4,B5)/C4)</f>
        <v>3.9650847543170928</v>
      </c>
      <c r="E4" s="19"/>
      <c r="F4" s="20">
        <f>C4-$C$4</f>
        <v>0</v>
      </c>
      <c r="G4" s="19"/>
      <c r="H4" s="20">
        <v>0</v>
      </c>
      <c r="I4" s="19"/>
      <c r="J4" s="19"/>
      <c r="K4" s="21">
        <v>0</v>
      </c>
      <c r="L4" s="22">
        <v>0</v>
      </c>
      <c r="M4" s="20"/>
      <c r="N4" s="20">
        <v>115</v>
      </c>
      <c r="O4" s="24">
        <v>115</v>
      </c>
      <c r="P4" s="20"/>
      <c r="Q4" s="24">
        <v>49</v>
      </c>
      <c r="R4" s="24">
        <v>0.14549999999999999</v>
      </c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7</v>
      </c>
      <c r="B5" s="20">
        <f>TRIG_10_10_24_RawData!E109</f>
        <v>5.1999999999999998E-2</v>
      </c>
      <c r="C5" s="20"/>
      <c r="D5" s="20"/>
      <c r="E5" s="19"/>
      <c r="F5" s="20"/>
      <c r="G5" s="19"/>
      <c r="H5" s="20"/>
      <c r="I5" s="19"/>
      <c r="J5" s="19"/>
      <c r="K5" s="21">
        <v>50</v>
      </c>
      <c r="L5" s="20">
        <v>0.161</v>
      </c>
      <c r="M5" s="20"/>
      <c r="N5" s="20">
        <v>94</v>
      </c>
      <c r="O5" s="24">
        <v>0.13100000000000001</v>
      </c>
      <c r="P5" s="20"/>
      <c r="Q5" s="24">
        <v>15</v>
      </c>
      <c r="R5" s="24">
        <v>4.4999999999999998E-2</v>
      </c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114</v>
      </c>
      <c r="B6" s="20">
        <f>TRIG_10_10_24_RawData!E110</f>
        <v>0.216</v>
      </c>
      <c r="C6" s="20">
        <f>AVERAGE(B6,B7)</f>
        <v>0.2145</v>
      </c>
      <c r="D6" s="20">
        <f>100*(STDEV(B6,B7)/C6)</f>
        <v>0.98896053312803944</v>
      </c>
      <c r="E6" s="19"/>
      <c r="F6" s="20">
        <f>C6-$C$4</f>
        <v>0.161</v>
      </c>
      <c r="G6" s="19"/>
      <c r="H6" s="20">
        <v>50</v>
      </c>
      <c r="I6" s="19"/>
      <c r="J6" s="19"/>
      <c r="K6" s="21">
        <v>100</v>
      </c>
      <c r="L6" s="20">
        <v>0.3</v>
      </c>
      <c r="M6" s="20"/>
      <c r="N6" s="20">
        <v>19</v>
      </c>
      <c r="O6" s="24">
        <v>5.7999999999999996E-2</v>
      </c>
      <c r="P6" s="20"/>
      <c r="Q6" s="24">
        <v>4</v>
      </c>
      <c r="R6" s="24">
        <v>1.3499999999999998E-2</v>
      </c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114</v>
      </c>
      <c r="B7" s="20">
        <f>TRIG_10_10_24_RawData!E111</f>
        <v>0.21299999999999999</v>
      </c>
      <c r="C7" s="20"/>
      <c r="D7" s="20"/>
      <c r="E7" s="19"/>
      <c r="F7" s="20"/>
      <c r="G7" s="19"/>
      <c r="H7" s="20"/>
      <c r="I7" s="19"/>
      <c r="J7" s="19"/>
      <c r="K7" s="21">
        <v>150</v>
      </c>
      <c r="L7" s="20">
        <v>0.48549999999999999</v>
      </c>
      <c r="M7" s="20"/>
      <c r="N7" s="24">
        <v>6</v>
      </c>
      <c r="O7" s="24">
        <v>1.9500000000000003E-2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9</v>
      </c>
      <c r="B8" s="20">
        <f>TRIG_10_10_24_RawData!E112</f>
        <v>0.35299999999999998</v>
      </c>
      <c r="C8" s="20">
        <f>AVERAGE(B8,B9)</f>
        <v>0.35349999999999998</v>
      </c>
      <c r="D8" s="20">
        <f>100*(STDEV(B8,B9)/C8)</f>
        <v>0.20003020684202211</v>
      </c>
      <c r="E8" s="19"/>
      <c r="F8" s="20">
        <f>C8-$C$4</f>
        <v>0.3</v>
      </c>
      <c r="G8" s="19"/>
      <c r="H8" s="20">
        <v>100</v>
      </c>
      <c r="I8" s="19"/>
      <c r="J8" s="19"/>
      <c r="K8" s="20">
        <v>200</v>
      </c>
      <c r="L8" s="20">
        <v>0.56200000000000006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9</v>
      </c>
      <c r="B9" s="20">
        <f>TRIG_10_10_24_RawData!E113</f>
        <v>0.35399999999999998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3">
        <v>3.0000000000000001E-3</v>
      </c>
      <c r="M9" s="20"/>
      <c r="N9" s="20"/>
      <c r="O9" s="20">
        <v>3.3</v>
      </c>
      <c r="P9" s="24">
        <v>0.46650000000000003</v>
      </c>
      <c r="Q9" s="24">
        <v>160.17241379310346</v>
      </c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10</v>
      </c>
      <c r="B10" s="20">
        <f>TRIG_10_10_24_RawData!E114</f>
        <v>0.52600000000000002</v>
      </c>
      <c r="C10" s="20">
        <f>AVERAGE(B10,B11)</f>
        <v>0.53900000000000003</v>
      </c>
      <c r="D10" s="20">
        <f>100*(STDEV(B10,B11)/C10)</f>
        <v>3.4109046958905846</v>
      </c>
      <c r="E10" s="19"/>
      <c r="F10" s="20">
        <f>C10-$C$4</f>
        <v>0.48550000000000004</v>
      </c>
      <c r="G10" s="19"/>
      <c r="H10" s="20">
        <v>150</v>
      </c>
      <c r="I10" s="19"/>
      <c r="J10" s="20"/>
      <c r="K10" s="18" t="s">
        <v>15</v>
      </c>
      <c r="L10" s="20">
        <v>0</v>
      </c>
      <c r="M10" s="20"/>
      <c r="N10" s="20"/>
      <c r="O10" s="20">
        <v>5.2</v>
      </c>
      <c r="P10" s="24">
        <v>0.21050000000000002</v>
      </c>
      <c r="Q10" s="24">
        <v>71.896551724137936</v>
      </c>
    </row>
    <row r="11" spans="1:26" ht="15.75" customHeight="1" x14ac:dyDescent="0.3">
      <c r="A11" s="20" t="s">
        <v>10</v>
      </c>
      <c r="B11" s="20">
        <f>TRIG_10_10_24_RawData!E115</f>
        <v>0.55200000000000005</v>
      </c>
      <c r="C11" s="20"/>
      <c r="D11" s="20"/>
      <c r="E11" s="19"/>
      <c r="F11" s="18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126</v>
      </c>
      <c r="B12" s="20">
        <f>TRIG_10_10_24_RawData!E116</f>
        <v>0.61499999999999999</v>
      </c>
      <c r="C12" s="20">
        <f>AVERAGE(B12,B13)</f>
        <v>0.61549999999999994</v>
      </c>
      <c r="D12" s="20">
        <f>100*(STDEV(B12,B13)/C12)</f>
        <v>0.11488331132194123</v>
      </c>
      <c r="E12" s="19"/>
      <c r="F12" s="20">
        <f>C12-$C$4</f>
        <v>0.56199999999999994</v>
      </c>
      <c r="G12" s="20"/>
      <c r="H12" s="20">
        <v>200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126</v>
      </c>
      <c r="B13" s="20">
        <f>TRIG_10_10_24_RawData!E117</f>
        <v>0.61599999999999999</v>
      </c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G14" s="20"/>
      <c r="H14" s="19"/>
      <c r="I14" s="20"/>
      <c r="J14" s="20"/>
      <c r="K14" s="20"/>
      <c r="L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G15" s="20"/>
      <c r="H15" s="19"/>
      <c r="I15" s="20"/>
      <c r="J15" s="20"/>
      <c r="K15" s="20"/>
      <c r="L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A16" s="18" t="s">
        <v>11</v>
      </c>
      <c r="B16" s="18" t="s">
        <v>3</v>
      </c>
      <c r="C16" s="18" t="s">
        <v>4</v>
      </c>
      <c r="D16" s="18" t="s">
        <v>0</v>
      </c>
      <c r="E16" s="18" t="s">
        <v>5</v>
      </c>
      <c r="F16" s="18" t="s">
        <v>12</v>
      </c>
      <c r="G16" s="18" t="s">
        <v>13</v>
      </c>
      <c r="H16" s="20"/>
      <c r="I16" s="20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29" t="s">
        <v>115</v>
      </c>
      <c r="B17" s="20">
        <f>TRIG_10_10_24_RawData!E88</f>
        <v>0.39200000000000002</v>
      </c>
      <c r="C17" s="24">
        <f>AVERAGE(B17,B18)</f>
        <v>0.39900000000000002</v>
      </c>
      <c r="D17" s="24">
        <f>100*(STDEV(B17,B18)/C17)</f>
        <v>2.4810764252159578</v>
      </c>
      <c r="E17" s="24">
        <f>C17-$C$4</f>
        <v>0.34550000000000003</v>
      </c>
      <c r="F17" s="91">
        <f>(E17-$L$10)/$L$9</f>
        <v>115.16666666666667</v>
      </c>
      <c r="G17" s="91">
        <f>F17</f>
        <v>115.16666666666667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A18" s="24"/>
      <c r="B18" s="20">
        <f>TRIG_10_10_24_RawData!E89</f>
        <v>0.40600000000000003</v>
      </c>
      <c r="C18" s="24"/>
      <c r="D18" s="24"/>
      <c r="E18" s="24"/>
      <c r="F18" s="91"/>
      <c r="G18" s="91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9" t="s">
        <v>116</v>
      </c>
      <c r="B19" s="20">
        <f>TRIG_10_10_24_RawData!E90</f>
        <v>0.19800000000000001</v>
      </c>
      <c r="C19" s="24">
        <f>AVERAGE(B19,B20)</f>
        <v>0.19450000000000001</v>
      </c>
      <c r="D19" s="24">
        <f>100*(STDEV(B19,B20)/C19)</f>
        <v>2.5448573101829495</v>
      </c>
      <c r="E19" s="24">
        <f>C19-$C$4</f>
        <v>0.14100000000000001</v>
      </c>
      <c r="F19" s="91">
        <f>(E19-$L$10)/$L$9</f>
        <v>47.000000000000007</v>
      </c>
      <c r="G19" s="91">
        <f>F19*2</f>
        <v>94.000000000000014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24"/>
      <c r="B20" s="20">
        <f>TRIG_10_10_24_RawData!E91</f>
        <v>0.191</v>
      </c>
      <c r="C20" s="24"/>
      <c r="D20" s="24"/>
      <c r="E20" s="24"/>
      <c r="F20" s="91"/>
      <c r="G20" s="91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117</v>
      </c>
      <c r="B21" s="20">
        <f>TRIG_10_10_24_RawData!E92</f>
        <v>0.114</v>
      </c>
      <c r="C21" s="24">
        <f>AVERAGE(B21,B22)</f>
        <v>0.1215</v>
      </c>
      <c r="D21" s="24">
        <f>100*(STDEV(B21,B22)/C21)</f>
        <v>8.7297133479820683</v>
      </c>
      <c r="E21" s="24">
        <f>C21-$C$4</f>
        <v>6.8000000000000005E-2</v>
      </c>
      <c r="F21" s="91">
        <f>(E21-$L$10)/$L$9</f>
        <v>22.666666666666668</v>
      </c>
      <c r="G21" s="91">
        <f>F21*4</f>
        <v>90.666666666666671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TRIG_10_10_24_RawData!E93</f>
        <v>0.129</v>
      </c>
      <c r="C22" s="24"/>
      <c r="D22" s="24"/>
      <c r="E22" s="24"/>
      <c r="F22" s="91"/>
      <c r="G22" s="91"/>
      <c r="H22" s="26" t="s">
        <v>125</v>
      </c>
      <c r="J22" s="27" t="s">
        <v>118</v>
      </c>
      <c r="K22" s="28" t="s">
        <v>119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1" t="s">
        <v>120</v>
      </c>
      <c r="B23" s="20">
        <f>TRIG_10_10_24_RawData!E94</f>
        <v>8.3000000000000004E-2</v>
      </c>
      <c r="C23" s="20">
        <v>8.3000000000000004E-2</v>
      </c>
      <c r="D23" s="35">
        <f>100*(STDEV(B23,B24)/C23)</f>
        <v>20.446461142743484</v>
      </c>
      <c r="E23" s="24">
        <f>C23-$C$4</f>
        <v>2.9500000000000005E-2</v>
      </c>
      <c r="F23" s="91">
        <f>(E23-$L$10)/$L$9</f>
        <v>9.8333333333333357</v>
      </c>
      <c r="G23" s="91">
        <f>F23*8</f>
        <v>78.666666666666686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24"/>
      <c r="B24" s="20">
        <f>TRIG_10_10_24_RawData!E95</f>
        <v>5.8999999999999997E-2</v>
      </c>
      <c r="C24" s="24"/>
      <c r="D24" s="24"/>
      <c r="E24" s="24"/>
      <c r="F24" s="91"/>
      <c r="G24" s="91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121</v>
      </c>
      <c r="B25" s="20">
        <f>TRIG_10_10_24_RawData!E96</f>
        <v>0.21</v>
      </c>
      <c r="C25" s="25">
        <f>AVERAGE(B25,B26)</f>
        <v>0.20899999999999999</v>
      </c>
      <c r="D25" s="25">
        <f>100*(STDEV(B25,B26)/C25)</f>
        <v>0.67665720687707953</v>
      </c>
      <c r="E25" s="24">
        <f>C25-$C$4</f>
        <v>0.1555</v>
      </c>
      <c r="F25" s="91">
        <f>(E25-$L$10)/$L$9</f>
        <v>51.833333333333329</v>
      </c>
      <c r="G25" s="91">
        <f>F25</f>
        <v>51.833333333333329</v>
      </c>
      <c r="H25" s="20"/>
      <c r="I25" s="20"/>
      <c r="J25" s="20"/>
      <c r="K25" s="20"/>
      <c r="L25" s="20"/>
      <c r="M25" s="20"/>
      <c r="N25" s="20">
        <v>3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25"/>
      <c r="B26" s="20">
        <f>TRIG_10_10_24_RawData!E97</f>
        <v>0.20799999999999999</v>
      </c>
      <c r="C26" s="25"/>
      <c r="D26" s="25"/>
      <c r="E26" s="25"/>
      <c r="F26" s="92"/>
      <c r="G26" s="92"/>
      <c r="H26" s="20"/>
      <c r="I26" s="20"/>
      <c r="J26" s="20"/>
      <c r="K26" s="20"/>
      <c r="L26" s="20"/>
      <c r="M26" s="20"/>
      <c r="N26" s="20">
        <v>1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30" t="s">
        <v>122</v>
      </c>
      <c r="B27" s="20">
        <f>TRIG_10_10_24_RawData!E98</f>
        <v>0.11</v>
      </c>
      <c r="C27" s="25">
        <f>AVERAGE(B27,B28)</f>
        <v>0.1085</v>
      </c>
      <c r="D27" s="25">
        <f>100*(STDEV(B27,B28)/C27)</f>
        <v>1.9551339571978292</v>
      </c>
      <c r="E27" s="24">
        <f>C27-$C$4</f>
        <v>5.5E-2</v>
      </c>
      <c r="F27" s="91">
        <f>(E27-$L$10)/$L$9</f>
        <v>18.333333333333332</v>
      </c>
      <c r="G27" s="91">
        <f>F27*2</f>
        <v>36.666666666666664</v>
      </c>
      <c r="H27" s="18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25"/>
      <c r="B28" s="20">
        <f>TRIG_10_10_24_RawData!E99</f>
        <v>0.107</v>
      </c>
      <c r="C28" s="25"/>
      <c r="D28" s="25"/>
      <c r="E28" s="25"/>
      <c r="F28" s="92"/>
      <c r="G28" s="92"/>
      <c r="H28" s="18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0" t="s">
        <v>123</v>
      </c>
      <c r="B29" s="20">
        <f>TRIG_10_10_24_RawData!E100</f>
        <v>7.4999999999999997E-2</v>
      </c>
      <c r="C29" s="25">
        <f>AVERAGE(B29,B30)</f>
        <v>7.6999999999999999E-2</v>
      </c>
      <c r="D29" s="25">
        <f>100*(STDEV(B29,B30)/C29)</f>
        <v>3.6732819801898602</v>
      </c>
      <c r="E29" s="24">
        <f>C29-$C$4</f>
        <v>2.35E-2</v>
      </c>
      <c r="F29" s="91">
        <f>(E29-$L$10)/$L$9</f>
        <v>7.833333333333333</v>
      </c>
      <c r="G29" s="91">
        <f>F29*4</f>
        <v>31.333333333333332</v>
      </c>
      <c r="H29" s="18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25"/>
      <c r="B30" s="20">
        <f>TRIG_10_10_24_RawData!E101</f>
        <v>7.9000000000000001E-2</v>
      </c>
      <c r="C30" s="25"/>
      <c r="D30" s="25"/>
      <c r="E30" s="25"/>
      <c r="F30" s="92"/>
      <c r="G30" s="92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2" t="s">
        <v>124</v>
      </c>
      <c r="B31" s="20">
        <f>TRIG_10_10_24_RawData!E102</f>
        <v>5.8999999999999997E-2</v>
      </c>
      <c r="C31" s="25">
        <v>5.8999999999999997E-2</v>
      </c>
      <c r="D31" s="34">
        <f>100*(STDEV(B31,B32)/C31)</f>
        <v>15.580318907500235</v>
      </c>
      <c r="E31" s="24">
        <f>C31-$C$4</f>
        <v>5.4999999999999979E-3</v>
      </c>
      <c r="F31" s="91">
        <f>(E31-$L$10)/$L$9</f>
        <v>1.8333333333333326</v>
      </c>
      <c r="G31" s="91">
        <f>F31*8</f>
        <v>14.666666666666661</v>
      </c>
      <c r="H31" s="20"/>
      <c r="I31" s="18" t="s">
        <v>127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24"/>
      <c r="B32" s="20">
        <f>TRIG_10_10_24_RawData!E103</f>
        <v>4.5999999999999999E-2</v>
      </c>
      <c r="C32" s="24"/>
      <c r="D32" s="24"/>
      <c r="E32" s="24"/>
      <c r="F32" s="91"/>
      <c r="G32" s="91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8">
        <v>3.3</v>
      </c>
      <c r="B33" s="20">
        <f>TRIG_10_10_24_RawData!E104</f>
        <v>0.53400000000000003</v>
      </c>
      <c r="C33" s="24">
        <f>AVERAGE(B33,B34)</f>
        <v>0.53</v>
      </c>
      <c r="D33" s="24">
        <f>100*(STDEV(B33,B34)/C33)</f>
        <v>1.0673309904702615</v>
      </c>
      <c r="E33" s="24">
        <f>C33-$C$4</f>
        <v>0.47650000000000003</v>
      </c>
      <c r="F33" s="91">
        <f>(E33-$L$10)/$L$9</f>
        <v>158.83333333333334</v>
      </c>
      <c r="G33" s="91">
        <f>F33</f>
        <v>158.83333333333334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24"/>
      <c r="B34" s="20">
        <f>TRIG_10_10_24_RawData!E105</f>
        <v>0.52600000000000002</v>
      </c>
      <c r="C34" s="24"/>
      <c r="D34" s="24"/>
      <c r="E34" s="24"/>
      <c r="F34" s="91"/>
      <c r="G34" s="91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9">
        <v>5.2</v>
      </c>
      <c r="B35" s="20">
        <f>TRIG_10_10_24_RawData!E106</f>
        <v>0.26700000000000002</v>
      </c>
      <c r="C35" s="24">
        <f>AVERAGE(B35,B36)</f>
        <v>0.27400000000000002</v>
      </c>
      <c r="D35" s="24">
        <f>100*(STDEV(B35,B36)/C35)</f>
        <v>3.6129543564276183</v>
      </c>
      <c r="E35" s="24">
        <f>C35-$C$4</f>
        <v>0.22050000000000003</v>
      </c>
      <c r="F35" s="91">
        <f>(E35-$L$10)/$L$9</f>
        <v>73.500000000000014</v>
      </c>
      <c r="G35" s="91">
        <f>F35</f>
        <v>73.500000000000014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24"/>
      <c r="B36" s="20">
        <f>TRIG_10_10_24_RawData!E107</f>
        <v>0.28100000000000003</v>
      </c>
      <c r="C36" s="24"/>
      <c r="D36" s="24"/>
      <c r="E36" s="24"/>
      <c r="F36" s="91"/>
      <c r="G36" s="91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26" t="s">
        <v>128</v>
      </c>
      <c r="B39" s="33" t="s">
        <v>129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B40" s="33" t="s">
        <v>130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8:27" ht="15.75" customHeight="1" x14ac:dyDescent="0.3"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8:27" ht="15.75" customHeight="1" x14ac:dyDescent="0.3"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8:27" ht="15.75" customHeight="1" x14ac:dyDescent="0.3"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8:27" ht="15.75" customHeight="1" x14ac:dyDescent="0.3"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8:27" ht="15.75" customHeight="1" x14ac:dyDescent="0.3"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8:27" ht="15.75" customHeight="1" x14ac:dyDescent="0.3"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8:27" ht="15.75" customHeight="1" x14ac:dyDescent="0.3"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8:27" ht="15.75" customHeight="1" x14ac:dyDescent="0.3"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8:27" ht="15.75" customHeight="1" x14ac:dyDescent="0.3"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8:27" ht="15.75" customHeight="1" x14ac:dyDescent="0.3"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8:27" ht="15.75" customHeight="1" x14ac:dyDescent="0.3"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8:27" ht="15.75" customHeight="1" x14ac:dyDescent="0.3"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8:27" ht="15.75" customHeight="1" x14ac:dyDescent="0.3"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8:27" ht="15.75" customHeight="1" x14ac:dyDescent="0.3"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8:27" ht="15.75" customHeight="1" x14ac:dyDescent="0.3"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8:27" ht="15.75" customHeight="1" x14ac:dyDescent="0.3"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8:26" ht="15.75" customHeight="1" x14ac:dyDescent="0.3"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8:26" ht="15.75" customHeight="1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8:26" ht="15.75" customHeight="1" x14ac:dyDescent="0.3"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8:26" ht="15.75" customHeight="1" x14ac:dyDescent="0.3"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8:26" ht="15.75" customHeight="1" x14ac:dyDescent="0.3"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8:26" ht="15.75" customHeight="1" x14ac:dyDescent="0.3"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8:26" ht="15.75" customHeight="1" x14ac:dyDescent="0.3"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8:26" ht="15.75" customHeight="1" x14ac:dyDescent="0.3"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8:26" ht="15.75" customHeight="1" x14ac:dyDescent="0.3"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8:26" ht="15.75" customHeight="1" x14ac:dyDescent="0.3"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8:26" ht="15.75" customHeight="1" x14ac:dyDescent="0.3"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8:26" ht="15.75" customHeight="1" x14ac:dyDescent="0.3"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8:26" ht="15.75" customHeight="1" x14ac:dyDescent="0.3"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8:26" ht="15.75" customHeight="1" x14ac:dyDescent="0.3"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8:26" ht="15.75" customHeight="1" x14ac:dyDescent="0.3"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8:26" ht="15.75" customHeight="1" x14ac:dyDescent="0.3"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8:26" ht="15.75" customHeight="1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8:26" ht="15.75" customHeight="1" x14ac:dyDescent="0.3"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8:26" ht="15.75" customHeight="1" x14ac:dyDescent="0.3"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8:26" ht="15.75" customHeight="1" x14ac:dyDescent="0.3"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8:26" ht="15.75" customHeight="1" x14ac:dyDescent="0.3"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8:26" ht="15.75" customHeight="1" x14ac:dyDescent="0.3"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8:26" ht="15.75" customHeight="1" x14ac:dyDescent="0.3"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8:26" ht="15.75" customHeight="1" x14ac:dyDescent="0.3"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8:26" ht="15.75" customHeight="1" x14ac:dyDescent="0.3"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8:26" ht="15.75" customHeight="1" x14ac:dyDescent="0.3"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8:26" ht="15.75" customHeight="1" x14ac:dyDescent="0.3"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8:26" ht="15.75" customHeight="1" x14ac:dyDescent="0.3"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8:26" ht="15.75" customHeight="1" x14ac:dyDescent="0.3"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8:26" ht="15.75" customHeight="1" x14ac:dyDescent="0.3"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8:26" ht="15.75" customHeight="1" x14ac:dyDescent="0.3"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8:26" ht="15.75" customHeight="1" x14ac:dyDescent="0.3"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mergeCells count="1">
    <mergeCell ref="K3:L3"/>
  </mergeCells>
  <pageMargins left="0.7" right="0.7" top="0.75" bottom="0.75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D143-061B-4998-AB39-CF91FCA64A0A}">
  <dimension ref="A2:O194"/>
  <sheetViews>
    <sheetView topLeftCell="A70" zoomScale="74" workbookViewId="0">
      <selection activeCell="E88" sqref="E88"/>
    </sheetView>
  </sheetViews>
  <sheetFormatPr defaultColWidth="8.19921875" defaultRowHeight="13.2" x14ac:dyDescent="0.25"/>
  <cols>
    <col min="1" max="1" width="18.69921875" style="1" customWidth="1"/>
    <col min="2" max="2" width="11.296875" style="1" customWidth="1"/>
    <col min="3" max="3" width="8.19921875" style="1"/>
    <col min="4" max="9" width="8.296875" style="1" bestFit="1" customWidth="1"/>
    <col min="10" max="10" width="11.296875" style="1" bestFit="1" customWidth="1"/>
    <col min="11" max="16384" width="8.19921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100</v>
      </c>
    </row>
    <row r="5" spans="1:2" x14ac:dyDescent="0.25">
      <c r="A5" s="1" t="s">
        <v>19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45579</v>
      </c>
    </row>
    <row r="8" spans="1:2" x14ac:dyDescent="0.25">
      <c r="A8" s="1" t="s">
        <v>22</v>
      </c>
      <c r="B8" s="3">
        <v>0.71606481481481488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>
        <v>13081218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5" t="s">
        <v>35</v>
      </c>
      <c r="C24" s="8" t="s">
        <v>98</v>
      </c>
      <c r="D24" s="8" t="s">
        <v>55</v>
      </c>
      <c r="E24" s="9" t="s">
        <v>37</v>
      </c>
      <c r="F24" s="9" t="s">
        <v>38</v>
      </c>
      <c r="G24" s="10"/>
      <c r="H24" s="10"/>
      <c r="I24" s="10"/>
      <c r="J24" s="10"/>
      <c r="K24" s="10"/>
      <c r="L24" s="10"/>
      <c r="M24" s="10"/>
      <c r="N24" s="10"/>
      <c r="O24" s="11" t="s">
        <v>39</v>
      </c>
    </row>
    <row r="25" spans="1:15" x14ac:dyDescent="0.25">
      <c r="B25" s="96"/>
      <c r="C25" s="12">
        <v>0</v>
      </c>
      <c r="D25" s="12">
        <v>200</v>
      </c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1" t="s">
        <v>40</v>
      </c>
    </row>
    <row r="26" spans="1:15" x14ac:dyDescent="0.25">
      <c r="B26" s="95" t="s">
        <v>41</v>
      </c>
      <c r="C26" s="8" t="s">
        <v>98</v>
      </c>
      <c r="D26" s="8" t="s">
        <v>55</v>
      </c>
      <c r="E26" s="9" t="s">
        <v>37</v>
      </c>
      <c r="F26" s="9" t="s">
        <v>38</v>
      </c>
      <c r="G26" s="10"/>
      <c r="H26" s="10"/>
      <c r="I26" s="10"/>
      <c r="J26" s="10"/>
      <c r="K26" s="10"/>
      <c r="L26" s="10"/>
      <c r="M26" s="10"/>
      <c r="N26" s="10"/>
      <c r="O26" s="11" t="s">
        <v>39</v>
      </c>
    </row>
    <row r="27" spans="1:15" x14ac:dyDescent="0.25">
      <c r="B27" s="96"/>
      <c r="C27" s="12">
        <v>0</v>
      </c>
      <c r="D27" s="12">
        <v>200</v>
      </c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1" t="s">
        <v>40</v>
      </c>
    </row>
    <row r="28" spans="1:15" x14ac:dyDescent="0.25">
      <c r="B28" s="95" t="s">
        <v>42</v>
      </c>
      <c r="C28" s="8" t="s">
        <v>43</v>
      </c>
      <c r="D28" s="9" t="s">
        <v>44</v>
      </c>
      <c r="E28" s="9" t="s">
        <v>45</v>
      </c>
      <c r="F28" s="9" t="s">
        <v>46</v>
      </c>
      <c r="G28" s="10"/>
      <c r="H28" s="10"/>
      <c r="I28" s="10"/>
      <c r="J28" s="10"/>
      <c r="K28" s="10"/>
      <c r="L28" s="10"/>
      <c r="M28" s="10"/>
      <c r="N28" s="10"/>
      <c r="O28" s="11" t="s">
        <v>39</v>
      </c>
    </row>
    <row r="29" spans="1:15" x14ac:dyDescent="0.25">
      <c r="B29" s="96"/>
      <c r="C29" s="12">
        <v>50</v>
      </c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1" t="s">
        <v>40</v>
      </c>
    </row>
    <row r="30" spans="1:15" x14ac:dyDescent="0.25">
      <c r="B30" s="95" t="s">
        <v>47</v>
      </c>
      <c r="C30" s="8" t="s">
        <v>43</v>
      </c>
      <c r="D30" s="9" t="s">
        <v>44</v>
      </c>
      <c r="E30" s="9" t="s">
        <v>45</v>
      </c>
      <c r="F30" s="9" t="s">
        <v>46</v>
      </c>
      <c r="G30" s="10"/>
      <c r="H30" s="10"/>
      <c r="I30" s="10"/>
      <c r="J30" s="10"/>
      <c r="K30" s="10"/>
      <c r="L30" s="10"/>
      <c r="M30" s="10"/>
      <c r="N30" s="10"/>
      <c r="O30" s="11" t="s">
        <v>39</v>
      </c>
    </row>
    <row r="31" spans="1:15" x14ac:dyDescent="0.25">
      <c r="B31" s="96"/>
      <c r="C31" s="12">
        <v>50</v>
      </c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1" t="s">
        <v>40</v>
      </c>
    </row>
    <row r="32" spans="1:15" x14ac:dyDescent="0.25">
      <c r="B32" s="95" t="s">
        <v>48</v>
      </c>
      <c r="C32" s="8" t="s">
        <v>49</v>
      </c>
      <c r="D32" s="9" t="s">
        <v>50</v>
      </c>
      <c r="E32" s="9" t="s">
        <v>51</v>
      </c>
      <c r="F32" s="9" t="s">
        <v>52</v>
      </c>
      <c r="G32" s="10"/>
      <c r="H32" s="10"/>
      <c r="I32" s="10"/>
      <c r="J32" s="10"/>
      <c r="K32" s="10"/>
      <c r="L32" s="10"/>
      <c r="M32" s="10"/>
      <c r="N32" s="10"/>
      <c r="O32" s="11" t="s">
        <v>39</v>
      </c>
    </row>
    <row r="33" spans="1:15" x14ac:dyDescent="0.25">
      <c r="B33" s="96"/>
      <c r="C33" s="12">
        <v>100</v>
      </c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1" t="s">
        <v>40</v>
      </c>
    </row>
    <row r="34" spans="1:15" x14ac:dyDescent="0.25">
      <c r="B34" s="95" t="s">
        <v>53</v>
      </c>
      <c r="C34" s="8" t="s">
        <v>49</v>
      </c>
      <c r="D34" s="9" t="s">
        <v>50</v>
      </c>
      <c r="E34" s="9" t="s">
        <v>51</v>
      </c>
      <c r="F34" s="9" t="s">
        <v>52</v>
      </c>
      <c r="G34" s="10"/>
      <c r="H34" s="10"/>
      <c r="I34" s="10"/>
      <c r="J34" s="10"/>
      <c r="K34" s="10"/>
      <c r="L34" s="10"/>
      <c r="M34" s="10"/>
      <c r="N34" s="10"/>
      <c r="O34" s="11" t="s">
        <v>39</v>
      </c>
    </row>
    <row r="35" spans="1:15" x14ac:dyDescent="0.25">
      <c r="B35" s="96"/>
      <c r="C35" s="12">
        <v>100</v>
      </c>
      <c r="D35" s="13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1" t="s">
        <v>40</v>
      </c>
    </row>
    <row r="36" spans="1:15" x14ac:dyDescent="0.25">
      <c r="B36" s="95" t="s">
        <v>54</v>
      </c>
      <c r="C36" s="8" t="s">
        <v>102</v>
      </c>
      <c r="D36" s="9" t="s">
        <v>56</v>
      </c>
      <c r="E36" s="9" t="s">
        <v>57</v>
      </c>
      <c r="F36" s="15" t="s">
        <v>36</v>
      </c>
      <c r="G36" s="10"/>
      <c r="H36" s="10"/>
      <c r="I36" s="10"/>
      <c r="J36" s="10"/>
      <c r="K36" s="10"/>
      <c r="L36" s="10"/>
      <c r="M36" s="10"/>
      <c r="N36" s="10"/>
      <c r="O36" s="11" t="s">
        <v>39</v>
      </c>
    </row>
    <row r="37" spans="1:15" x14ac:dyDescent="0.25">
      <c r="B37" s="96"/>
      <c r="C37" s="12">
        <v>150</v>
      </c>
      <c r="D37" s="13"/>
      <c r="E37" s="13"/>
      <c r="F37" s="16"/>
      <c r="G37" s="14"/>
      <c r="H37" s="14"/>
      <c r="I37" s="14"/>
      <c r="J37" s="14"/>
      <c r="K37" s="14"/>
      <c r="L37" s="14"/>
      <c r="M37" s="14"/>
      <c r="N37" s="14"/>
      <c r="O37" s="11" t="s">
        <v>40</v>
      </c>
    </row>
    <row r="38" spans="1:15" x14ac:dyDescent="0.25">
      <c r="B38" s="95" t="s">
        <v>58</v>
      </c>
      <c r="C38" s="8" t="s">
        <v>102</v>
      </c>
      <c r="D38" s="9" t="s">
        <v>56</v>
      </c>
      <c r="E38" s="9" t="s">
        <v>57</v>
      </c>
      <c r="F38" s="15" t="s">
        <v>36</v>
      </c>
      <c r="G38" s="10"/>
      <c r="H38" s="10"/>
      <c r="I38" s="10"/>
      <c r="J38" s="10"/>
      <c r="K38" s="10"/>
      <c r="L38" s="10"/>
      <c r="M38" s="10"/>
      <c r="N38" s="10"/>
      <c r="O38" s="11" t="s">
        <v>39</v>
      </c>
    </row>
    <row r="39" spans="1:15" x14ac:dyDescent="0.25">
      <c r="B39" s="96"/>
      <c r="C39" s="12">
        <v>150</v>
      </c>
      <c r="D39" s="13"/>
      <c r="E39" s="13"/>
      <c r="F39" s="16"/>
      <c r="G39" s="14"/>
      <c r="H39" s="14"/>
      <c r="I39" s="14"/>
      <c r="J39" s="14"/>
      <c r="K39" s="14"/>
      <c r="L39" s="14"/>
      <c r="M39" s="14"/>
      <c r="N39" s="14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26.1</v>
      </c>
    </row>
    <row r="43" spans="1:15" x14ac:dyDescent="0.25">
      <c r="A43" s="1" t="s">
        <v>59</v>
      </c>
      <c r="B43" s="1">
        <v>26.1</v>
      </c>
    </row>
    <row r="44" spans="1:15" x14ac:dyDescent="0.25">
      <c r="A44" s="1" t="s">
        <v>59</v>
      </c>
      <c r="B44" s="1">
        <v>26.1</v>
      </c>
    </row>
    <row r="45" spans="1:15" x14ac:dyDescent="0.25">
      <c r="A45" s="1" t="s">
        <v>59</v>
      </c>
      <c r="B45" s="1">
        <v>26.1</v>
      </c>
    </row>
    <row r="46" spans="1:15" x14ac:dyDescent="0.25">
      <c r="A46" s="1" t="s">
        <v>59</v>
      </c>
      <c r="B46" s="1">
        <v>26.1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86</v>
      </c>
      <c r="D49" s="17"/>
      <c r="E49" s="17">
        <v>7.1999999999999995E-2</v>
      </c>
      <c r="F49" s="17">
        <v>2</v>
      </c>
      <c r="G49" s="17">
        <v>6.4000000000000001E-2</v>
      </c>
      <c r="H49" s="17">
        <v>1.2E-2</v>
      </c>
      <c r="I49" s="17">
        <v>18.870999999999999</v>
      </c>
    </row>
    <row r="50" spans="2:9" x14ac:dyDescent="0.25">
      <c r="B50" s="17"/>
      <c r="C50" s="17" t="s">
        <v>87</v>
      </c>
      <c r="D50" s="17"/>
      <c r="E50" s="17">
        <v>5.5E-2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66</v>
      </c>
      <c r="D51" s="17"/>
      <c r="E51" s="17">
        <v>0.39200000000000002</v>
      </c>
      <c r="F51" s="17">
        <v>2</v>
      </c>
      <c r="G51" s="17">
        <v>0.39900000000000002</v>
      </c>
      <c r="H51" s="17">
        <v>0.01</v>
      </c>
      <c r="I51" s="17">
        <v>2.5870000000000002</v>
      </c>
    </row>
    <row r="52" spans="2:9" x14ac:dyDescent="0.25">
      <c r="B52" s="17"/>
      <c r="C52" s="17" t="s">
        <v>67</v>
      </c>
      <c r="D52" s="17"/>
      <c r="E52" s="17">
        <v>0.40600000000000003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68</v>
      </c>
      <c r="D53" s="17"/>
      <c r="E53" s="17">
        <v>0.19800000000000001</v>
      </c>
      <c r="F53" s="17">
        <v>2</v>
      </c>
      <c r="G53" s="17">
        <v>0.19400000000000001</v>
      </c>
      <c r="H53" s="17">
        <v>5.0000000000000001E-3</v>
      </c>
      <c r="I53" s="17">
        <v>2.3660000000000001</v>
      </c>
    </row>
    <row r="54" spans="2:9" x14ac:dyDescent="0.25">
      <c r="B54" s="17"/>
      <c r="C54" s="17" t="s">
        <v>69</v>
      </c>
      <c r="D54" s="17"/>
      <c r="E54" s="17">
        <v>0.191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70</v>
      </c>
      <c r="D55" s="17"/>
      <c r="E55" s="17">
        <v>0.114</v>
      </c>
      <c r="F55" s="17">
        <v>2</v>
      </c>
      <c r="G55" s="17">
        <v>0.122</v>
      </c>
      <c r="H55" s="17">
        <v>0.01</v>
      </c>
      <c r="I55" s="17">
        <v>8.3810000000000002</v>
      </c>
    </row>
    <row r="56" spans="2:9" x14ac:dyDescent="0.25">
      <c r="B56" s="17"/>
      <c r="C56" s="17" t="s">
        <v>71</v>
      </c>
      <c r="D56" s="17"/>
      <c r="E56" s="17">
        <v>0.129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72</v>
      </c>
      <c r="D57" s="17"/>
      <c r="E57" s="17">
        <v>8.3000000000000004E-2</v>
      </c>
      <c r="F57" s="17">
        <v>2</v>
      </c>
      <c r="G57" s="17">
        <v>7.0999999999999994E-2</v>
      </c>
      <c r="H57" s="17">
        <v>1.7000000000000001E-2</v>
      </c>
      <c r="I57" s="17">
        <v>23.818999999999999</v>
      </c>
    </row>
    <row r="58" spans="2:9" x14ac:dyDescent="0.25">
      <c r="B58" s="17"/>
      <c r="C58" s="17" t="s">
        <v>73</v>
      </c>
      <c r="D58" s="17"/>
      <c r="E58" s="17">
        <v>5.8999999999999997E-2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74</v>
      </c>
      <c r="D59" s="17"/>
      <c r="E59" s="17">
        <v>0.21</v>
      </c>
      <c r="F59" s="17">
        <v>2</v>
      </c>
      <c r="G59" s="17">
        <v>0.20899999999999999</v>
      </c>
      <c r="H59" s="17">
        <v>2E-3</v>
      </c>
      <c r="I59" s="17">
        <v>0.94699999999999995</v>
      </c>
    </row>
    <row r="60" spans="2:9" x14ac:dyDescent="0.25">
      <c r="B60" s="17"/>
      <c r="C60" s="17" t="s">
        <v>75</v>
      </c>
      <c r="D60" s="17"/>
      <c r="E60" s="17">
        <v>0.20799999999999999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76</v>
      </c>
      <c r="D61" s="17"/>
      <c r="E61" s="17">
        <v>0.11</v>
      </c>
      <c r="F61" s="17">
        <v>2</v>
      </c>
      <c r="G61" s="17">
        <v>0.109</v>
      </c>
      <c r="H61" s="17">
        <v>2E-3</v>
      </c>
      <c r="I61" s="17">
        <v>1.694</v>
      </c>
    </row>
    <row r="62" spans="2:9" x14ac:dyDescent="0.25">
      <c r="B62" s="17"/>
      <c r="C62" s="17" t="s">
        <v>77</v>
      </c>
      <c r="D62" s="17"/>
      <c r="E62" s="17">
        <v>0.107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78</v>
      </c>
      <c r="D63" s="17"/>
      <c r="E63" s="17">
        <v>7.4999999999999997E-2</v>
      </c>
      <c r="F63" s="17">
        <v>2</v>
      </c>
      <c r="G63" s="17">
        <v>7.6999999999999999E-2</v>
      </c>
      <c r="H63" s="17">
        <v>3.0000000000000001E-3</v>
      </c>
      <c r="I63" s="17">
        <v>4.319</v>
      </c>
    </row>
    <row r="64" spans="2:9" x14ac:dyDescent="0.25">
      <c r="B64" s="17"/>
      <c r="C64" s="17" t="s">
        <v>79</v>
      </c>
      <c r="D64" s="17"/>
      <c r="E64" s="17">
        <v>7.9000000000000001E-2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80</v>
      </c>
      <c r="D65" s="17"/>
      <c r="E65" s="17">
        <v>5.8999999999999997E-2</v>
      </c>
      <c r="F65" s="17">
        <v>2</v>
      </c>
      <c r="G65" s="17">
        <v>5.2999999999999999E-2</v>
      </c>
      <c r="H65" s="17">
        <v>0.01</v>
      </c>
      <c r="I65" s="17">
        <v>18.434999999999999</v>
      </c>
    </row>
    <row r="66" spans="2:9" x14ac:dyDescent="0.25">
      <c r="B66" s="17"/>
      <c r="C66" s="17" t="s">
        <v>81</v>
      </c>
      <c r="D66" s="17"/>
      <c r="E66" s="17">
        <v>4.5999999999999999E-2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82</v>
      </c>
      <c r="D67" s="17"/>
      <c r="E67" s="17">
        <v>0.53400000000000003</v>
      </c>
      <c r="F67" s="17">
        <v>2</v>
      </c>
      <c r="G67" s="17">
        <v>0.53</v>
      </c>
      <c r="H67" s="17">
        <v>6.0000000000000001E-3</v>
      </c>
      <c r="I67" s="17">
        <v>1.095</v>
      </c>
    </row>
    <row r="68" spans="2:9" x14ac:dyDescent="0.25">
      <c r="B68" s="17"/>
      <c r="C68" s="17" t="s">
        <v>83</v>
      </c>
      <c r="D68" s="17"/>
      <c r="E68" s="17">
        <v>0.52600000000000002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84</v>
      </c>
      <c r="D69" s="17"/>
      <c r="E69" s="17">
        <v>0.26700000000000002</v>
      </c>
      <c r="F69" s="17">
        <v>2</v>
      </c>
      <c r="G69" s="17">
        <v>0.27400000000000002</v>
      </c>
      <c r="H69" s="17">
        <v>0.01</v>
      </c>
      <c r="I69" s="17">
        <v>3.645</v>
      </c>
    </row>
    <row r="70" spans="2:9" x14ac:dyDescent="0.25">
      <c r="B70" s="17"/>
      <c r="C70" s="17" t="s">
        <v>85</v>
      </c>
      <c r="D70" s="17"/>
      <c r="E70" s="17">
        <v>0.28100000000000003</v>
      </c>
      <c r="F70" s="17"/>
      <c r="G70" s="17"/>
      <c r="H70" s="17"/>
      <c r="I70" s="17"/>
    </row>
    <row r="71" spans="2:9" x14ac:dyDescent="0.25">
      <c r="B71" s="17" t="s">
        <v>98</v>
      </c>
      <c r="C71" s="17" t="s">
        <v>64</v>
      </c>
      <c r="D71" s="17">
        <v>0</v>
      </c>
      <c r="E71" s="17">
        <v>5.5E-2</v>
      </c>
      <c r="F71" s="17">
        <v>2</v>
      </c>
      <c r="G71" s="17">
        <v>5.3999999999999999E-2</v>
      </c>
      <c r="H71" s="17">
        <v>2E-3</v>
      </c>
      <c r="I71" s="17">
        <v>3.95</v>
      </c>
    </row>
    <row r="72" spans="2:9" x14ac:dyDescent="0.25">
      <c r="B72" s="17"/>
      <c r="C72" s="17" t="s">
        <v>65</v>
      </c>
      <c r="D72" s="17">
        <v>0</v>
      </c>
      <c r="E72" s="17">
        <v>5.1999999999999998E-2</v>
      </c>
      <c r="F72" s="17"/>
      <c r="G72" s="17"/>
      <c r="H72" s="17"/>
      <c r="I72" s="17"/>
    </row>
    <row r="73" spans="2:9" x14ac:dyDescent="0.25">
      <c r="B73" s="17" t="s">
        <v>43</v>
      </c>
      <c r="C73" s="17" t="s">
        <v>88</v>
      </c>
      <c r="D73" s="17">
        <v>50</v>
      </c>
      <c r="E73" s="17">
        <v>0.216</v>
      </c>
      <c r="F73" s="17">
        <v>2</v>
      </c>
      <c r="G73" s="17">
        <v>0.215</v>
      </c>
      <c r="H73" s="17">
        <v>2E-3</v>
      </c>
      <c r="I73" s="17">
        <v>0.95399999999999996</v>
      </c>
    </row>
    <row r="74" spans="2:9" x14ac:dyDescent="0.25">
      <c r="B74" s="17"/>
      <c r="C74" s="17" t="s">
        <v>89</v>
      </c>
      <c r="D74" s="17">
        <v>50</v>
      </c>
      <c r="E74" s="17">
        <v>0.21299999999999999</v>
      </c>
      <c r="F74" s="17"/>
      <c r="G74" s="17"/>
      <c r="H74" s="17"/>
      <c r="I74" s="17"/>
    </row>
    <row r="75" spans="2:9" x14ac:dyDescent="0.25">
      <c r="B75" s="17" t="s">
        <v>49</v>
      </c>
      <c r="C75" s="17" t="s">
        <v>91</v>
      </c>
      <c r="D75" s="17">
        <v>100</v>
      </c>
      <c r="E75" s="17">
        <v>0.35299999999999998</v>
      </c>
      <c r="F75" s="17">
        <v>2</v>
      </c>
      <c r="G75" s="17">
        <v>0.35299999999999998</v>
      </c>
      <c r="H75" s="17">
        <v>1E-3</v>
      </c>
      <c r="I75" s="17">
        <v>0.2</v>
      </c>
    </row>
    <row r="76" spans="2:9" x14ac:dyDescent="0.25">
      <c r="B76" s="17"/>
      <c r="C76" s="17" t="s">
        <v>90</v>
      </c>
      <c r="D76" s="17">
        <v>100</v>
      </c>
      <c r="E76" s="17">
        <v>0.35399999999999998</v>
      </c>
      <c r="F76" s="17"/>
      <c r="G76" s="17"/>
      <c r="H76" s="17"/>
      <c r="I76" s="17"/>
    </row>
    <row r="77" spans="2:9" x14ac:dyDescent="0.25">
      <c r="B77" s="17" t="s">
        <v>102</v>
      </c>
      <c r="C77" s="17" t="s">
        <v>92</v>
      </c>
      <c r="D77" s="17">
        <v>150</v>
      </c>
      <c r="E77" s="17">
        <v>0.52600000000000002</v>
      </c>
      <c r="F77" s="17">
        <v>2</v>
      </c>
      <c r="G77" s="17">
        <v>0.53900000000000003</v>
      </c>
      <c r="H77" s="17">
        <v>1.7999999999999999E-2</v>
      </c>
      <c r="I77" s="17">
        <v>3.4</v>
      </c>
    </row>
    <row r="78" spans="2:9" x14ac:dyDescent="0.25">
      <c r="B78" s="17"/>
      <c r="C78" s="17" t="s">
        <v>93</v>
      </c>
      <c r="D78" s="17">
        <v>150</v>
      </c>
      <c r="E78" s="17">
        <v>0.55200000000000005</v>
      </c>
      <c r="F78" s="17"/>
      <c r="G78" s="17"/>
      <c r="H78" s="17"/>
      <c r="I78" s="17"/>
    </row>
    <row r="79" spans="2:9" x14ac:dyDescent="0.25">
      <c r="B79" s="17" t="s">
        <v>55</v>
      </c>
      <c r="C79" s="17" t="s">
        <v>94</v>
      </c>
      <c r="D79" s="17">
        <v>200</v>
      </c>
      <c r="E79" s="17">
        <v>0.61499999999999999</v>
      </c>
      <c r="F79" s="17">
        <v>2</v>
      </c>
      <c r="G79" s="17">
        <v>0.61599999999999999</v>
      </c>
      <c r="H79" s="17">
        <v>0</v>
      </c>
      <c r="I79" s="17">
        <v>6.9000000000000006E-2</v>
      </c>
    </row>
    <row r="80" spans="2:9" x14ac:dyDescent="0.25">
      <c r="B80" s="17"/>
      <c r="C80" s="17" t="s">
        <v>95</v>
      </c>
      <c r="D80" s="17">
        <v>200</v>
      </c>
      <c r="E80" s="17">
        <v>0.61599999999999999</v>
      </c>
      <c r="F80" s="17"/>
      <c r="G80" s="17"/>
      <c r="H80" s="17"/>
      <c r="I80" s="17"/>
    </row>
    <row r="82" spans="1:10" x14ac:dyDescent="0.25">
      <c r="A82" s="4" t="s">
        <v>103</v>
      </c>
      <c r="B82" s="5"/>
    </row>
    <row r="83" spans="1:10" x14ac:dyDescent="0.25">
      <c r="A83" s="1" t="s">
        <v>59</v>
      </c>
      <c r="B83" s="1">
        <v>26.1</v>
      </c>
    </row>
    <row r="85" spans="1:10" ht="26.4" x14ac:dyDescent="0.25">
      <c r="B85" s="7" t="s">
        <v>39</v>
      </c>
      <c r="C85" s="7" t="s">
        <v>60</v>
      </c>
      <c r="D85" s="7" t="s">
        <v>40</v>
      </c>
      <c r="E85" s="7">
        <v>500</v>
      </c>
      <c r="F85" s="7" t="s">
        <v>103</v>
      </c>
      <c r="G85" s="7" t="s">
        <v>61</v>
      </c>
      <c r="H85" s="7" t="s">
        <v>4</v>
      </c>
      <c r="I85" s="7" t="s">
        <v>62</v>
      </c>
      <c r="J85" s="7" t="s">
        <v>63</v>
      </c>
    </row>
    <row r="86" spans="1:10" x14ac:dyDescent="0.25">
      <c r="B86" s="17" t="s">
        <v>36</v>
      </c>
      <c r="C86" s="17" t="s">
        <v>86</v>
      </c>
      <c r="D86" s="17"/>
      <c r="E86" s="17">
        <v>7.1999999999999995E-2</v>
      </c>
      <c r="F86" s="17">
        <v>8.0000000000000002E-3</v>
      </c>
      <c r="G86" s="17">
        <v>2</v>
      </c>
      <c r="H86" s="17">
        <v>0</v>
      </c>
      <c r="I86" s="17">
        <v>1.2E-2</v>
      </c>
      <c r="J86" s="17">
        <v>-1.7323820549270099E+17</v>
      </c>
    </row>
    <row r="87" spans="1:10" x14ac:dyDescent="0.25">
      <c r="B87" s="17"/>
      <c r="C87" s="17" t="s">
        <v>87</v>
      </c>
      <c r="D87" s="17"/>
      <c r="E87" s="17">
        <v>5.5E-2</v>
      </c>
      <c r="F87" s="17">
        <v>-8.9999999999999993E-3</v>
      </c>
      <c r="G87" s="17"/>
      <c r="H87" s="17"/>
      <c r="I87" s="17"/>
      <c r="J87" s="17"/>
    </row>
    <row r="88" spans="1:10" x14ac:dyDescent="0.25">
      <c r="B88" s="17" t="s">
        <v>44</v>
      </c>
      <c r="C88" s="17" t="s">
        <v>66</v>
      </c>
      <c r="D88" s="17"/>
      <c r="E88" s="17">
        <v>0.39200000000000002</v>
      </c>
      <c r="F88" s="17">
        <v>0.32800000000000001</v>
      </c>
      <c r="G88" s="17">
        <v>2</v>
      </c>
      <c r="H88" s="17">
        <v>0.33500000000000002</v>
      </c>
      <c r="I88" s="17">
        <v>0.01</v>
      </c>
      <c r="J88" s="17">
        <v>3.0779999999999998</v>
      </c>
    </row>
    <row r="89" spans="1:10" x14ac:dyDescent="0.25">
      <c r="B89" s="17"/>
      <c r="C89" s="17" t="s">
        <v>67</v>
      </c>
      <c r="D89" s="17"/>
      <c r="E89" s="17">
        <v>0.40600000000000003</v>
      </c>
      <c r="F89" s="17">
        <v>0.34300000000000003</v>
      </c>
      <c r="G89" s="17"/>
      <c r="H89" s="17"/>
      <c r="I89" s="17"/>
      <c r="J89" s="17"/>
    </row>
    <row r="90" spans="1:10" x14ac:dyDescent="0.25">
      <c r="B90" s="17" t="s">
        <v>50</v>
      </c>
      <c r="C90" s="17" t="s">
        <v>68</v>
      </c>
      <c r="D90" s="17"/>
      <c r="E90" s="17">
        <v>0.19800000000000001</v>
      </c>
      <c r="F90" s="17">
        <v>0.13400000000000001</v>
      </c>
      <c r="G90" s="17">
        <v>2</v>
      </c>
      <c r="H90" s="17">
        <v>0.13100000000000001</v>
      </c>
      <c r="I90" s="17">
        <v>5.0000000000000001E-3</v>
      </c>
      <c r="J90" s="17">
        <v>3.5209999999999999</v>
      </c>
    </row>
    <row r="91" spans="1:10" x14ac:dyDescent="0.25">
      <c r="B91" s="17"/>
      <c r="C91" s="17" t="s">
        <v>69</v>
      </c>
      <c r="D91" s="17"/>
      <c r="E91" s="17">
        <v>0.191</v>
      </c>
      <c r="F91" s="17">
        <v>0.127</v>
      </c>
      <c r="G91" s="17"/>
      <c r="H91" s="17"/>
      <c r="I91" s="17"/>
      <c r="J91" s="17"/>
    </row>
    <row r="92" spans="1:10" x14ac:dyDescent="0.25">
      <c r="B92" s="17" t="s">
        <v>56</v>
      </c>
      <c r="C92" s="17" t="s">
        <v>70</v>
      </c>
      <c r="D92" s="17"/>
      <c r="E92" s="17">
        <v>0.114</v>
      </c>
      <c r="F92" s="17">
        <v>5.0999999999999997E-2</v>
      </c>
      <c r="G92" s="17">
        <v>2</v>
      </c>
      <c r="H92" s="17">
        <v>5.8000000000000003E-2</v>
      </c>
      <c r="I92" s="17">
        <v>0.01</v>
      </c>
      <c r="J92" s="17">
        <v>17.617000000000001</v>
      </c>
    </row>
    <row r="93" spans="1:10" x14ac:dyDescent="0.25">
      <c r="B93" s="17"/>
      <c r="C93" s="17" t="s">
        <v>71</v>
      </c>
      <c r="D93" s="17"/>
      <c r="E93" s="17">
        <v>0.129</v>
      </c>
      <c r="F93" s="17">
        <v>6.5000000000000002E-2</v>
      </c>
      <c r="G93" s="17"/>
      <c r="H93" s="17"/>
      <c r="I93" s="17"/>
      <c r="J93" s="17"/>
    </row>
    <row r="94" spans="1:10" x14ac:dyDescent="0.25">
      <c r="B94" s="17" t="s">
        <v>37</v>
      </c>
      <c r="C94" s="17" t="s">
        <v>72</v>
      </c>
      <c r="D94" s="17"/>
      <c r="E94" s="17">
        <v>8.3000000000000004E-2</v>
      </c>
      <c r="F94" s="17">
        <v>1.9E-2</v>
      </c>
      <c r="G94" s="17">
        <v>2</v>
      </c>
      <c r="H94" s="17">
        <v>7.0000000000000001E-3</v>
      </c>
      <c r="I94" s="17">
        <v>1.7000000000000001E-2</v>
      </c>
      <c r="J94" s="17">
        <v>233.101</v>
      </c>
    </row>
    <row r="95" spans="1:10" x14ac:dyDescent="0.25">
      <c r="B95" s="17"/>
      <c r="C95" s="17" t="s">
        <v>73</v>
      </c>
      <c r="D95" s="17"/>
      <c r="E95" s="17">
        <v>5.8999999999999997E-2</v>
      </c>
      <c r="F95" s="17">
        <v>-5.0000000000000001E-3</v>
      </c>
      <c r="G95" s="17"/>
      <c r="H95" s="17"/>
      <c r="I95" s="17"/>
      <c r="J95" s="17"/>
    </row>
    <row r="96" spans="1:10" x14ac:dyDescent="0.25">
      <c r="B96" s="17" t="s">
        <v>45</v>
      </c>
      <c r="C96" s="17" t="s">
        <v>74</v>
      </c>
      <c r="D96" s="17"/>
      <c r="E96" s="17">
        <v>0.21</v>
      </c>
      <c r="F96" s="17">
        <v>0.14699999999999999</v>
      </c>
      <c r="G96" s="17">
        <v>2</v>
      </c>
      <c r="H96" s="17">
        <v>0.14499999999999999</v>
      </c>
      <c r="I96" s="17">
        <v>2E-3</v>
      </c>
      <c r="J96" s="17">
        <v>1.3620000000000001</v>
      </c>
    </row>
    <row r="97" spans="2:10" x14ac:dyDescent="0.25">
      <c r="B97" s="17"/>
      <c r="C97" s="17" t="s">
        <v>75</v>
      </c>
      <c r="D97" s="17"/>
      <c r="E97" s="17">
        <v>0.20799999999999999</v>
      </c>
      <c r="F97" s="17">
        <v>0.14399999999999999</v>
      </c>
      <c r="G97" s="17"/>
      <c r="H97" s="17"/>
      <c r="I97" s="17"/>
      <c r="J97" s="17"/>
    </row>
    <row r="98" spans="2:10" x14ac:dyDescent="0.25">
      <c r="B98" s="17" t="s">
        <v>51</v>
      </c>
      <c r="C98" s="17" t="s">
        <v>76</v>
      </c>
      <c r="D98" s="17"/>
      <c r="E98" s="17">
        <v>0.11</v>
      </c>
      <c r="F98" s="17">
        <v>4.5999999999999999E-2</v>
      </c>
      <c r="G98" s="17">
        <v>2</v>
      </c>
      <c r="H98" s="17">
        <v>4.4999999999999998E-2</v>
      </c>
      <c r="I98" s="17">
        <v>2E-3</v>
      </c>
      <c r="J98" s="17">
        <v>4.1040000000000001</v>
      </c>
    </row>
    <row r="99" spans="2:10" x14ac:dyDescent="0.25">
      <c r="B99" s="17"/>
      <c r="C99" s="17" t="s">
        <v>77</v>
      </c>
      <c r="D99" s="17"/>
      <c r="E99" s="17">
        <v>0.107</v>
      </c>
      <c r="F99" s="17">
        <v>4.2999999999999997E-2</v>
      </c>
      <c r="G99" s="17"/>
      <c r="H99" s="17"/>
      <c r="I99" s="17"/>
      <c r="J99" s="17"/>
    </row>
    <row r="100" spans="2:10" x14ac:dyDescent="0.25">
      <c r="B100" s="17" t="s">
        <v>57</v>
      </c>
      <c r="C100" s="17" t="s">
        <v>78</v>
      </c>
      <c r="D100" s="17"/>
      <c r="E100" s="17">
        <v>7.4999999999999997E-2</v>
      </c>
      <c r="F100" s="17">
        <v>1.0999999999999999E-2</v>
      </c>
      <c r="G100" s="17">
        <v>2</v>
      </c>
      <c r="H100" s="17">
        <v>1.2999999999999999E-2</v>
      </c>
      <c r="I100" s="17">
        <v>3.0000000000000001E-3</v>
      </c>
      <c r="J100" s="17">
        <v>25.082000000000001</v>
      </c>
    </row>
    <row r="101" spans="2:10" x14ac:dyDescent="0.25">
      <c r="B101" s="17"/>
      <c r="C101" s="17" t="s">
        <v>79</v>
      </c>
      <c r="D101" s="17"/>
      <c r="E101" s="17">
        <v>7.9000000000000001E-2</v>
      </c>
      <c r="F101" s="17">
        <v>1.6E-2</v>
      </c>
      <c r="G101" s="17"/>
      <c r="H101" s="17"/>
      <c r="I101" s="17"/>
      <c r="J101" s="17"/>
    </row>
    <row r="102" spans="2:10" x14ac:dyDescent="0.25">
      <c r="B102" s="17" t="s">
        <v>38</v>
      </c>
      <c r="C102" s="17" t="s">
        <v>80</v>
      </c>
      <c r="D102" s="17"/>
      <c r="E102" s="17">
        <v>5.8999999999999997E-2</v>
      </c>
      <c r="F102" s="17">
        <v>-4.0000000000000001E-3</v>
      </c>
      <c r="G102" s="17">
        <v>2</v>
      </c>
      <c r="H102" s="17">
        <v>-1.0999999999999999E-2</v>
      </c>
      <c r="I102" s="17">
        <v>0.01</v>
      </c>
      <c r="J102" s="17">
        <v>-86.882000000000005</v>
      </c>
    </row>
    <row r="103" spans="2:10" x14ac:dyDescent="0.25">
      <c r="B103" s="17"/>
      <c r="C103" s="17" t="s">
        <v>81</v>
      </c>
      <c r="D103" s="17"/>
      <c r="E103" s="17">
        <v>4.5999999999999999E-2</v>
      </c>
      <c r="F103" s="17">
        <v>-1.7999999999999999E-2</v>
      </c>
      <c r="G103" s="17"/>
      <c r="H103" s="17"/>
      <c r="I103" s="17"/>
      <c r="J103" s="17"/>
    </row>
    <row r="104" spans="2:10" x14ac:dyDescent="0.25">
      <c r="B104" s="17" t="s">
        <v>46</v>
      </c>
      <c r="C104" s="17" t="s">
        <v>82</v>
      </c>
      <c r="D104" s="17"/>
      <c r="E104" s="17">
        <v>0.53400000000000003</v>
      </c>
      <c r="F104" s="17">
        <v>0.47</v>
      </c>
      <c r="G104" s="17">
        <v>2</v>
      </c>
      <c r="H104" s="17">
        <v>0.46600000000000003</v>
      </c>
      <c r="I104" s="17">
        <v>6.0000000000000001E-3</v>
      </c>
      <c r="J104" s="17">
        <v>1.244</v>
      </c>
    </row>
    <row r="105" spans="2:10" x14ac:dyDescent="0.25">
      <c r="B105" s="17"/>
      <c r="C105" s="17" t="s">
        <v>83</v>
      </c>
      <c r="D105" s="17"/>
      <c r="E105" s="17">
        <v>0.52600000000000002</v>
      </c>
      <c r="F105" s="17">
        <v>0.46200000000000002</v>
      </c>
      <c r="G105" s="17"/>
      <c r="H105" s="17"/>
      <c r="I105" s="17"/>
      <c r="J105" s="17"/>
    </row>
    <row r="106" spans="2:10" x14ac:dyDescent="0.25">
      <c r="B106" s="17" t="s">
        <v>52</v>
      </c>
      <c r="C106" s="17" t="s">
        <v>84</v>
      </c>
      <c r="D106" s="17"/>
      <c r="E106" s="17">
        <v>0.26700000000000002</v>
      </c>
      <c r="F106" s="17">
        <v>0.20300000000000001</v>
      </c>
      <c r="G106" s="17">
        <v>2</v>
      </c>
      <c r="H106" s="17">
        <v>0.21</v>
      </c>
      <c r="I106" s="17">
        <v>0.01</v>
      </c>
      <c r="J106" s="17">
        <v>4.7510000000000003</v>
      </c>
    </row>
    <row r="107" spans="2:10" x14ac:dyDescent="0.25">
      <c r="B107" s="17"/>
      <c r="C107" s="17" t="s">
        <v>85</v>
      </c>
      <c r="D107" s="17"/>
      <c r="E107" s="17">
        <v>0.28100000000000003</v>
      </c>
      <c r="F107" s="17">
        <v>0.217</v>
      </c>
      <c r="G107" s="17"/>
      <c r="H107" s="17"/>
      <c r="I107" s="17"/>
      <c r="J107" s="17"/>
    </row>
    <row r="108" spans="2:10" x14ac:dyDescent="0.25">
      <c r="B108" s="17" t="s">
        <v>98</v>
      </c>
      <c r="C108" s="17" t="s">
        <v>64</v>
      </c>
      <c r="D108" s="17">
        <v>0</v>
      </c>
      <c r="E108" s="17">
        <v>5.5E-2</v>
      </c>
      <c r="F108" s="17">
        <v>-8.9999999999999993E-3</v>
      </c>
      <c r="G108" s="17">
        <v>2</v>
      </c>
      <c r="H108" s="17">
        <v>-0.01</v>
      </c>
      <c r="I108" s="17">
        <v>2E-3</v>
      </c>
      <c r="J108" s="17">
        <v>-21.213000000000001</v>
      </c>
    </row>
    <row r="109" spans="2:10" x14ac:dyDescent="0.25">
      <c r="B109" s="17"/>
      <c r="C109" s="17" t="s">
        <v>65</v>
      </c>
      <c r="D109" s="17">
        <v>0</v>
      </c>
      <c r="E109" s="17">
        <v>5.1999999999999998E-2</v>
      </c>
      <c r="F109" s="17">
        <v>-1.2E-2</v>
      </c>
      <c r="G109" s="17"/>
      <c r="H109" s="17"/>
      <c r="I109" s="17"/>
      <c r="J109" s="17"/>
    </row>
    <row r="110" spans="2:10" x14ac:dyDescent="0.25">
      <c r="B110" s="17" t="s">
        <v>43</v>
      </c>
      <c r="C110" s="17" t="s">
        <v>88</v>
      </c>
      <c r="D110" s="17">
        <v>50</v>
      </c>
      <c r="E110" s="17">
        <v>0.216</v>
      </c>
      <c r="F110" s="17">
        <v>0.153</v>
      </c>
      <c r="G110" s="17">
        <v>2</v>
      </c>
      <c r="H110" s="17">
        <v>0.151</v>
      </c>
      <c r="I110" s="17">
        <v>2E-3</v>
      </c>
      <c r="J110" s="17">
        <v>1.357</v>
      </c>
    </row>
    <row r="111" spans="2:10" x14ac:dyDescent="0.25">
      <c r="B111" s="17"/>
      <c r="C111" s="17" t="s">
        <v>89</v>
      </c>
      <c r="D111" s="17">
        <v>50</v>
      </c>
      <c r="E111" s="17">
        <v>0.21299999999999999</v>
      </c>
      <c r="F111" s="17">
        <v>0.15</v>
      </c>
      <c r="G111" s="17"/>
      <c r="H111" s="17"/>
      <c r="I111" s="17"/>
      <c r="J111" s="17"/>
    </row>
    <row r="112" spans="2:10" x14ac:dyDescent="0.25">
      <c r="B112" s="17" t="s">
        <v>49</v>
      </c>
      <c r="C112" s="17" t="s">
        <v>91</v>
      </c>
      <c r="D112" s="17">
        <v>100</v>
      </c>
      <c r="E112" s="17">
        <v>0.35299999999999998</v>
      </c>
      <c r="F112" s="17">
        <v>0.28899999999999998</v>
      </c>
      <c r="G112" s="17">
        <v>2</v>
      </c>
      <c r="H112" s="17">
        <v>0.28999999999999998</v>
      </c>
      <c r="I112" s="17">
        <v>1E-3</v>
      </c>
      <c r="J112" s="17">
        <v>0.24399999999999999</v>
      </c>
    </row>
    <row r="113" spans="1:10" x14ac:dyDescent="0.25">
      <c r="B113" s="17"/>
      <c r="C113" s="17" t="s">
        <v>90</v>
      </c>
      <c r="D113" s="17">
        <v>100</v>
      </c>
      <c r="E113" s="17">
        <v>0.35399999999999998</v>
      </c>
      <c r="F113" s="17">
        <v>0.28999999999999998</v>
      </c>
      <c r="G113" s="17"/>
      <c r="H113" s="17"/>
      <c r="I113" s="17"/>
      <c r="J113" s="17"/>
    </row>
    <row r="114" spans="1:10" x14ac:dyDescent="0.25">
      <c r="B114" s="17" t="s">
        <v>102</v>
      </c>
      <c r="C114" s="17" t="s">
        <v>92</v>
      </c>
      <c r="D114" s="17">
        <v>150</v>
      </c>
      <c r="E114" s="17">
        <v>0.52600000000000002</v>
      </c>
      <c r="F114" s="17">
        <v>0.46200000000000002</v>
      </c>
      <c r="G114" s="17">
        <v>2</v>
      </c>
      <c r="H114" s="17">
        <v>0.47499999999999998</v>
      </c>
      <c r="I114" s="17">
        <v>1.7999999999999999E-2</v>
      </c>
      <c r="J114" s="17">
        <v>3.8559999999999999</v>
      </c>
    </row>
    <row r="115" spans="1:10" x14ac:dyDescent="0.25">
      <c r="B115" s="17"/>
      <c r="C115" s="17" t="s">
        <v>93</v>
      </c>
      <c r="D115" s="17">
        <v>150</v>
      </c>
      <c r="E115" s="17">
        <v>0.55200000000000005</v>
      </c>
      <c r="F115" s="17">
        <v>0.48799999999999999</v>
      </c>
      <c r="G115" s="17"/>
      <c r="H115" s="17"/>
      <c r="I115" s="17"/>
      <c r="J115" s="17"/>
    </row>
    <row r="116" spans="1:10" x14ac:dyDescent="0.25">
      <c r="B116" s="17" t="s">
        <v>55</v>
      </c>
      <c r="C116" s="17" t="s">
        <v>94</v>
      </c>
      <c r="D116" s="17">
        <v>200</v>
      </c>
      <c r="E116" s="17">
        <v>0.61499999999999999</v>
      </c>
      <c r="F116" s="17">
        <v>0.55200000000000005</v>
      </c>
      <c r="G116" s="17">
        <v>2</v>
      </c>
      <c r="H116" s="17">
        <v>0.55200000000000005</v>
      </c>
      <c r="I116" s="17">
        <v>0</v>
      </c>
      <c r="J116" s="17">
        <v>7.6999999999999999E-2</v>
      </c>
    </row>
    <row r="117" spans="1:10" x14ac:dyDescent="0.25">
      <c r="B117" s="17"/>
      <c r="C117" s="17" t="s">
        <v>95</v>
      </c>
      <c r="D117" s="17">
        <v>200</v>
      </c>
      <c r="E117" s="17">
        <v>0.61599999999999999</v>
      </c>
      <c r="F117" s="17">
        <v>0.55200000000000005</v>
      </c>
      <c r="G117" s="17"/>
      <c r="H117" s="17"/>
      <c r="I117" s="17"/>
      <c r="J117" s="17"/>
    </row>
    <row r="119" spans="1:10" x14ac:dyDescent="0.25">
      <c r="A119" s="4" t="s">
        <v>104</v>
      </c>
      <c r="B119" s="5"/>
    </row>
    <row r="154" spans="1:7" ht="26.4" x14ac:dyDescent="0.25">
      <c r="A154" s="4" t="s">
        <v>105</v>
      </c>
      <c r="B154" s="5"/>
    </row>
    <row r="156" spans="1:7" ht="26.4" x14ac:dyDescent="0.25">
      <c r="B156" s="7" t="s">
        <v>106</v>
      </c>
      <c r="C156" s="7" t="s">
        <v>107</v>
      </c>
      <c r="D156" s="7" t="s">
        <v>35</v>
      </c>
      <c r="E156" s="7" t="s">
        <v>41</v>
      </c>
      <c r="F156" s="7" t="s">
        <v>108</v>
      </c>
      <c r="G156" s="7" t="s">
        <v>109</v>
      </c>
    </row>
    <row r="157" spans="1:7" x14ac:dyDescent="0.25">
      <c r="B157" s="17" t="s">
        <v>104</v>
      </c>
      <c r="C157" s="17" t="s">
        <v>110</v>
      </c>
      <c r="D157" s="17">
        <v>2.8999999999999998E-3</v>
      </c>
      <c r="E157" s="17">
        <v>6.5699999999999995E-2</v>
      </c>
      <c r="F157" s="17">
        <v>0.98799999999999999</v>
      </c>
      <c r="G157" s="17" t="s">
        <v>99</v>
      </c>
    </row>
    <row r="159" spans="1:7" x14ac:dyDescent="0.25">
      <c r="A159" s="4" t="s">
        <v>111</v>
      </c>
      <c r="B159" s="5"/>
    </row>
    <row r="160" spans="1:7" x14ac:dyDescent="0.25">
      <c r="A160" s="1" t="s">
        <v>59</v>
      </c>
      <c r="B160" s="1">
        <v>26.1</v>
      </c>
    </row>
    <row r="162" spans="2:10" ht="26.4" x14ac:dyDescent="0.25">
      <c r="B162" s="7" t="s">
        <v>39</v>
      </c>
      <c r="C162" s="7" t="s">
        <v>60</v>
      </c>
      <c r="D162" s="7" t="s">
        <v>40</v>
      </c>
      <c r="E162" s="7">
        <v>500</v>
      </c>
      <c r="F162" s="7" t="s">
        <v>111</v>
      </c>
      <c r="G162" s="7" t="s">
        <v>61</v>
      </c>
      <c r="H162" s="7" t="s">
        <v>4</v>
      </c>
      <c r="I162" s="7" t="s">
        <v>62</v>
      </c>
      <c r="J162" s="7" t="s">
        <v>63</v>
      </c>
    </row>
    <row r="163" spans="2:10" x14ac:dyDescent="0.25">
      <c r="B163" s="17" t="s">
        <v>36</v>
      </c>
      <c r="C163" s="17" t="s">
        <v>86</v>
      </c>
      <c r="D163" s="17"/>
      <c r="E163" s="17">
        <v>7.1999999999999995E-2</v>
      </c>
      <c r="F163" s="17">
        <v>2.2450000000000001</v>
      </c>
      <c r="G163" s="17">
        <v>1</v>
      </c>
      <c r="H163" s="17">
        <v>2.2450000000000001</v>
      </c>
      <c r="I163" s="17" t="s">
        <v>99</v>
      </c>
      <c r="J163" s="17" t="s">
        <v>99</v>
      </c>
    </row>
    <row r="164" spans="2:10" x14ac:dyDescent="0.25">
      <c r="B164" s="17"/>
      <c r="C164" s="17" t="s">
        <v>87</v>
      </c>
      <c r="D164" s="17"/>
      <c r="E164" s="17">
        <v>5.5E-2</v>
      </c>
      <c r="F164" s="17" t="s">
        <v>112</v>
      </c>
      <c r="G164" s="17"/>
      <c r="H164" s="17"/>
      <c r="I164" s="17"/>
      <c r="J164" s="17"/>
    </row>
    <row r="165" spans="2:10" x14ac:dyDescent="0.25">
      <c r="B165" s="17" t="s">
        <v>44</v>
      </c>
      <c r="C165" s="17" t="s">
        <v>66</v>
      </c>
      <c r="D165" s="17"/>
      <c r="E165" s="17">
        <v>0.39200000000000002</v>
      </c>
      <c r="F165" s="17">
        <v>112.63500000000001</v>
      </c>
      <c r="G165" s="17">
        <v>2</v>
      </c>
      <c r="H165" s="17">
        <v>115.15600000000001</v>
      </c>
      <c r="I165" s="17">
        <v>3.5659999999999998</v>
      </c>
      <c r="J165" s="17">
        <v>3.097</v>
      </c>
    </row>
    <row r="166" spans="2:10" x14ac:dyDescent="0.25">
      <c r="B166" s="17"/>
      <c r="C166" s="17" t="s">
        <v>67</v>
      </c>
      <c r="D166" s="17"/>
      <c r="E166" s="17">
        <v>0.40600000000000003</v>
      </c>
      <c r="F166" s="17">
        <v>117.678</v>
      </c>
      <c r="G166" s="17"/>
      <c r="H166" s="17"/>
      <c r="I166" s="17"/>
      <c r="J166" s="17"/>
    </row>
    <row r="167" spans="2:10" x14ac:dyDescent="0.25">
      <c r="B167" s="17" t="s">
        <v>50</v>
      </c>
      <c r="C167" s="17" t="s">
        <v>68</v>
      </c>
      <c r="D167" s="17"/>
      <c r="E167" s="17">
        <v>0.19800000000000001</v>
      </c>
      <c r="F167" s="17">
        <v>45.524000000000001</v>
      </c>
      <c r="G167" s="17">
        <v>2</v>
      </c>
      <c r="H167" s="17">
        <v>44.401000000000003</v>
      </c>
      <c r="I167" s="17">
        <v>1.5880000000000001</v>
      </c>
      <c r="J167" s="17">
        <v>3.5750000000000002</v>
      </c>
    </row>
    <row r="168" spans="2:10" x14ac:dyDescent="0.25">
      <c r="B168" s="17"/>
      <c r="C168" s="17" t="s">
        <v>69</v>
      </c>
      <c r="D168" s="17"/>
      <c r="E168" s="17">
        <v>0.191</v>
      </c>
      <c r="F168" s="17">
        <v>43.279000000000003</v>
      </c>
      <c r="G168" s="17"/>
      <c r="H168" s="17"/>
      <c r="I168" s="17"/>
      <c r="J168" s="17"/>
    </row>
    <row r="169" spans="2:10" x14ac:dyDescent="0.25">
      <c r="B169" s="17" t="s">
        <v>56</v>
      </c>
      <c r="C169" s="17" t="s">
        <v>70</v>
      </c>
      <c r="D169" s="17"/>
      <c r="E169" s="17">
        <v>0.114</v>
      </c>
      <c r="F169" s="17">
        <v>16.786000000000001</v>
      </c>
      <c r="G169" s="17">
        <v>2</v>
      </c>
      <c r="H169" s="17">
        <v>19.273</v>
      </c>
      <c r="I169" s="17">
        <v>3.5169999999999999</v>
      </c>
      <c r="J169" s="17">
        <v>18.248000000000001</v>
      </c>
    </row>
    <row r="170" spans="2:10" x14ac:dyDescent="0.25">
      <c r="B170" s="17"/>
      <c r="C170" s="17" t="s">
        <v>71</v>
      </c>
      <c r="D170" s="17"/>
      <c r="E170" s="17">
        <v>0.129</v>
      </c>
      <c r="F170" s="17">
        <v>21.76</v>
      </c>
      <c r="G170" s="17"/>
      <c r="H170" s="17"/>
      <c r="I170" s="17"/>
      <c r="J170" s="17"/>
    </row>
    <row r="171" spans="2:10" x14ac:dyDescent="0.25">
      <c r="B171" s="17" t="s">
        <v>37</v>
      </c>
      <c r="C171" s="17" t="s">
        <v>72</v>
      </c>
      <c r="D171" s="17"/>
      <c r="E171" s="17">
        <v>8.3000000000000004E-2</v>
      </c>
      <c r="F171" s="17">
        <v>5.9409999999999998</v>
      </c>
      <c r="G171" s="17">
        <v>1</v>
      </c>
      <c r="H171" s="17">
        <v>5.9409999999999998</v>
      </c>
      <c r="I171" s="17" t="s">
        <v>99</v>
      </c>
      <c r="J171" s="17" t="s">
        <v>99</v>
      </c>
    </row>
    <row r="172" spans="2:10" x14ac:dyDescent="0.25">
      <c r="B172" s="17"/>
      <c r="C172" s="17" t="s">
        <v>73</v>
      </c>
      <c r="D172" s="17"/>
      <c r="E172" s="17">
        <v>5.8999999999999997E-2</v>
      </c>
      <c r="F172" s="17" t="s">
        <v>112</v>
      </c>
      <c r="G172" s="17"/>
      <c r="H172" s="17"/>
      <c r="I172" s="17"/>
      <c r="J172" s="17"/>
    </row>
    <row r="173" spans="2:10" x14ac:dyDescent="0.25">
      <c r="B173" s="17" t="s">
        <v>45</v>
      </c>
      <c r="C173" s="17" t="s">
        <v>74</v>
      </c>
      <c r="D173" s="17"/>
      <c r="E173" s="17">
        <v>0.21</v>
      </c>
      <c r="F173" s="17">
        <v>50.014000000000003</v>
      </c>
      <c r="G173" s="17">
        <v>2</v>
      </c>
      <c r="H173" s="17">
        <v>49.53</v>
      </c>
      <c r="I173" s="17">
        <v>0.68400000000000005</v>
      </c>
      <c r="J173" s="17">
        <v>1.381</v>
      </c>
    </row>
    <row r="174" spans="2:10" x14ac:dyDescent="0.25">
      <c r="B174" s="17"/>
      <c r="C174" s="17" t="s">
        <v>75</v>
      </c>
      <c r="D174" s="17"/>
      <c r="E174" s="17">
        <v>0.20799999999999999</v>
      </c>
      <c r="F174" s="17">
        <v>49.046999999999997</v>
      </c>
      <c r="G174" s="17"/>
      <c r="H174" s="17"/>
      <c r="I174" s="17"/>
      <c r="J174" s="17"/>
    </row>
    <row r="175" spans="2:10" x14ac:dyDescent="0.25">
      <c r="B175" s="17" t="s">
        <v>51</v>
      </c>
      <c r="C175" s="17" t="s">
        <v>76</v>
      </c>
      <c r="D175" s="17"/>
      <c r="E175" s="17">
        <v>0.11</v>
      </c>
      <c r="F175" s="17">
        <v>15.231999999999999</v>
      </c>
      <c r="G175" s="17">
        <v>2</v>
      </c>
      <c r="H175" s="17">
        <v>14.782999999999999</v>
      </c>
      <c r="I175" s="17">
        <v>0.63500000000000001</v>
      </c>
      <c r="J175" s="17">
        <v>4.2960000000000003</v>
      </c>
    </row>
    <row r="176" spans="2:10" x14ac:dyDescent="0.25">
      <c r="B176" s="17"/>
      <c r="C176" s="17" t="s">
        <v>77</v>
      </c>
      <c r="D176" s="17"/>
      <c r="E176" s="17">
        <v>0.107</v>
      </c>
      <c r="F176" s="17">
        <v>14.334</v>
      </c>
      <c r="G176" s="17"/>
      <c r="H176" s="17"/>
      <c r="I176" s="17"/>
      <c r="J176" s="17"/>
    </row>
    <row r="177" spans="2:10" x14ac:dyDescent="0.25">
      <c r="B177" s="17" t="s">
        <v>57</v>
      </c>
      <c r="C177" s="17" t="s">
        <v>78</v>
      </c>
      <c r="D177" s="17"/>
      <c r="E177" s="17">
        <v>7.4999999999999997E-2</v>
      </c>
      <c r="F177" s="17">
        <v>3.0739999999999998</v>
      </c>
      <c r="G177" s="17">
        <v>2</v>
      </c>
      <c r="H177" s="17">
        <v>3.8860000000000001</v>
      </c>
      <c r="I177" s="17">
        <v>1.1479999999999999</v>
      </c>
      <c r="J177" s="17">
        <v>29.541</v>
      </c>
    </row>
    <row r="178" spans="2:10" x14ac:dyDescent="0.25">
      <c r="B178" s="17"/>
      <c r="C178" s="17" t="s">
        <v>79</v>
      </c>
      <c r="D178" s="17"/>
      <c r="E178" s="17">
        <v>7.9000000000000001E-2</v>
      </c>
      <c r="F178" s="17">
        <v>4.6970000000000001</v>
      </c>
      <c r="G178" s="17"/>
      <c r="H178" s="17"/>
      <c r="I178" s="17"/>
      <c r="J178" s="17"/>
    </row>
    <row r="179" spans="2:10" x14ac:dyDescent="0.25">
      <c r="B179" s="17" t="s">
        <v>38</v>
      </c>
      <c r="C179" s="17" t="s">
        <v>80</v>
      </c>
      <c r="D179" s="17"/>
      <c r="E179" s="17">
        <v>5.8999999999999997E-2</v>
      </c>
      <c r="F179" s="17" t="s">
        <v>112</v>
      </c>
      <c r="G179" s="17">
        <v>0</v>
      </c>
      <c r="H179" s="17" t="s">
        <v>99</v>
      </c>
      <c r="I179" s="17" t="s">
        <v>99</v>
      </c>
      <c r="J179" s="17" t="s">
        <v>99</v>
      </c>
    </row>
    <row r="180" spans="2:10" x14ac:dyDescent="0.25">
      <c r="B180" s="17"/>
      <c r="C180" s="17" t="s">
        <v>81</v>
      </c>
      <c r="D180" s="17"/>
      <c r="E180" s="17">
        <v>4.5999999999999999E-2</v>
      </c>
      <c r="F180" s="17" t="s">
        <v>112</v>
      </c>
      <c r="G180" s="17"/>
      <c r="H180" s="17"/>
      <c r="I180" s="17"/>
      <c r="J180" s="17"/>
    </row>
    <row r="181" spans="2:10" x14ac:dyDescent="0.25">
      <c r="B181" s="17" t="s">
        <v>46</v>
      </c>
      <c r="C181" s="17" t="s">
        <v>82</v>
      </c>
      <c r="D181" s="17"/>
      <c r="E181" s="17">
        <v>0.53400000000000003</v>
      </c>
      <c r="F181" s="17">
        <v>161.68100000000001</v>
      </c>
      <c r="G181" s="17">
        <v>2</v>
      </c>
      <c r="H181" s="17">
        <v>160.26499999999999</v>
      </c>
      <c r="I181" s="17">
        <v>2.0030000000000001</v>
      </c>
      <c r="J181" s="17">
        <v>1.25</v>
      </c>
    </row>
    <row r="182" spans="2:10" x14ac:dyDescent="0.25">
      <c r="B182" s="17"/>
      <c r="C182" s="17" t="s">
        <v>83</v>
      </c>
      <c r="D182" s="17"/>
      <c r="E182" s="17">
        <v>0.52600000000000002</v>
      </c>
      <c r="F182" s="17">
        <v>158.84899999999999</v>
      </c>
      <c r="G182" s="17"/>
      <c r="H182" s="17"/>
      <c r="I182" s="17"/>
      <c r="J182" s="17"/>
    </row>
    <row r="183" spans="2:10" x14ac:dyDescent="0.25">
      <c r="B183" s="17" t="s">
        <v>52</v>
      </c>
      <c r="C183" s="17" t="s">
        <v>84</v>
      </c>
      <c r="D183" s="17"/>
      <c r="E183" s="17">
        <v>0.26700000000000002</v>
      </c>
      <c r="F183" s="17">
        <v>69.355999999999995</v>
      </c>
      <c r="G183" s="17">
        <v>2</v>
      </c>
      <c r="H183" s="17">
        <v>71.790999999999997</v>
      </c>
      <c r="I183" s="17">
        <v>3.444</v>
      </c>
      <c r="J183" s="17">
        <v>4.7969999999999997</v>
      </c>
    </row>
    <row r="184" spans="2:10" x14ac:dyDescent="0.25">
      <c r="B184" s="17"/>
      <c r="C184" s="17" t="s">
        <v>85</v>
      </c>
      <c r="D184" s="17"/>
      <c r="E184" s="17">
        <v>0.28100000000000003</v>
      </c>
      <c r="F184" s="17">
        <v>74.225999999999999</v>
      </c>
      <c r="G184" s="17"/>
      <c r="H184" s="17"/>
      <c r="I184" s="17"/>
      <c r="J184" s="17"/>
    </row>
    <row r="185" spans="2:10" x14ac:dyDescent="0.25">
      <c r="B185" s="17" t="s">
        <v>98</v>
      </c>
      <c r="C185" s="17" t="s">
        <v>64</v>
      </c>
      <c r="D185" s="17">
        <v>0</v>
      </c>
      <c r="E185" s="17">
        <v>5.5E-2</v>
      </c>
      <c r="F185" s="17" t="s">
        <v>112</v>
      </c>
      <c r="G185" s="17">
        <v>0</v>
      </c>
      <c r="H185" s="17" t="s">
        <v>99</v>
      </c>
      <c r="I185" s="17" t="s">
        <v>99</v>
      </c>
      <c r="J185" s="17" t="s">
        <v>99</v>
      </c>
    </row>
    <row r="186" spans="2:10" x14ac:dyDescent="0.25">
      <c r="B186" s="17"/>
      <c r="C186" s="17" t="s">
        <v>65</v>
      </c>
      <c r="D186" s="17">
        <v>0</v>
      </c>
      <c r="E186" s="17">
        <v>5.1999999999999998E-2</v>
      </c>
      <c r="F186" s="17" t="s">
        <v>112</v>
      </c>
      <c r="G186" s="17"/>
      <c r="H186" s="17"/>
      <c r="I186" s="17"/>
      <c r="J186" s="17"/>
    </row>
    <row r="187" spans="2:10" x14ac:dyDescent="0.25">
      <c r="B187" s="17" t="s">
        <v>43</v>
      </c>
      <c r="C187" s="17" t="s">
        <v>88</v>
      </c>
      <c r="D187" s="17">
        <v>50</v>
      </c>
      <c r="E187" s="17">
        <v>0.216</v>
      </c>
      <c r="F187" s="17">
        <v>52.017000000000003</v>
      </c>
      <c r="G187" s="17">
        <v>2</v>
      </c>
      <c r="H187" s="17">
        <v>51.515999999999998</v>
      </c>
      <c r="I187" s="17">
        <v>0.70799999999999996</v>
      </c>
      <c r="J187" s="17">
        <v>1.375</v>
      </c>
    </row>
    <row r="188" spans="2:10" x14ac:dyDescent="0.25">
      <c r="B188" s="17"/>
      <c r="C188" s="17" t="s">
        <v>89</v>
      </c>
      <c r="D188" s="17">
        <v>50</v>
      </c>
      <c r="E188" s="17">
        <v>0.21299999999999999</v>
      </c>
      <c r="F188" s="17">
        <v>51.015000000000001</v>
      </c>
      <c r="G188" s="17"/>
      <c r="H188" s="17"/>
      <c r="I188" s="17"/>
      <c r="J188" s="17"/>
    </row>
    <row r="189" spans="2:10" x14ac:dyDescent="0.25">
      <c r="B189" s="17" t="s">
        <v>49</v>
      </c>
      <c r="C189" s="17" t="s">
        <v>91</v>
      </c>
      <c r="D189" s="17">
        <v>100</v>
      </c>
      <c r="E189" s="17">
        <v>0.35299999999999998</v>
      </c>
      <c r="F189" s="17">
        <v>99.164000000000001</v>
      </c>
      <c r="G189" s="17">
        <v>2</v>
      </c>
      <c r="H189" s="17">
        <v>99.337000000000003</v>
      </c>
      <c r="I189" s="17">
        <v>0.24399999999999999</v>
      </c>
      <c r="J189" s="17">
        <v>0.246</v>
      </c>
    </row>
    <row r="190" spans="2:10" x14ac:dyDescent="0.25">
      <c r="B190" s="17"/>
      <c r="C190" s="17" t="s">
        <v>90</v>
      </c>
      <c r="D190" s="17">
        <v>100</v>
      </c>
      <c r="E190" s="17">
        <v>0.35399999999999998</v>
      </c>
      <c r="F190" s="17">
        <v>99.51</v>
      </c>
      <c r="G190" s="17"/>
      <c r="H190" s="17"/>
      <c r="I190" s="17"/>
      <c r="J190" s="17"/>
    </row>
    <row r="191" spans="2:10" x14ac:dyDescent="0.25">
      <c r="B191" s="17" t="s">
        <v>102</v>
      </c>
      <c r="C191" s="17" t="s">
        <v>92</v>
      </c>
      <c r="D191" s="17">
        <v>150</v>
      </c>
      <c r="E191" s="17">
        <v>0.52600000000000002</v>
      </c>
      <c r="F191" s="17">
        <v>158.88399999999999</v>
      </c>
      <c r="G191" s="17">
        <v>2</v>
      </c>
      <c r="H191" s="17">
        <v>163.357</v>
      </c>
      <c r="I191" s="17">
        <v>6.3259999999999996</v>
      </c>
      <c r="J191" s="17">
        <v>3.8719999999999999</v>
      </c>
    </row>
    <row r="192" spans="2:10" x14ac:dyDescent="0.25">
      <c r="B192" s="17"/>
      <c r="C192" s="17" t="s">
        <v>93</v>
      </c>
      <c r="D192" s="17">
        <v>150</v>
      </c>
      <c r="E192" s="17">
        <v>0.55200000000000005</v>
      </c>
      <c r="F192" s="17">
        <v>167.83</v>
      </c>
      <c r="G192" s="17"/>
      <c r="H192" s="17"/>
      <c r="I192" s="17"/>
      <c r="J192" s="17"/>
    </row>
    <row r="193" spans="2:10" x14ac:dyDescent="0.25">
      <c r="B193" s="17" t="s">
        <v>55</v>
      </c>
      <c r="C193" s="17" t="s">
        <v>94</v>
      </c>
      <c r="D193" s="17">
        <v>200</v>
      </c>
      <c r="E193" s="17">
        <v>0.61499999999999999</v>
      </c>
      <c r="F193" s="17">
        <v>189.83099999999999</v>
      </c>
      <c r="G193" s="17">
        <v>2</v>
      </c>
      <c r="H193" s="17">
        <v>189.935</v>
      </c>
      <c r="I193" s="17">
        <v>0.14699999999999999</v>
      </c>
      <c r="J193" s="17">
        <v>7.6999999999999999E-2</v>
      </c>
    </row>
    <row r="194" spans="2:10" x14ac:dyDescent="0.25">
      <c r="B194" s="17"/>
      <c r="C194" s="17" t="s">
        <v>95</v>
      </c>
      <c r="D194" s="17">
        <v>200</v>
      </c>
      <c r="E194" s="17">
        <v>0.61599999999999999</v>
      </c>
      <c r="F194" s="17">
        <v>190.03899999999999</v>
      </c>
      <c r="G194" s="17"/>
      <c r="H194" s="17"/>
      <c r="I194" s="17"/>
      <c r="J194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Plate5_Analysis_11_29</vt:lpstr>
      <vt:lpstr>Plate5_RawData_11_29</vt:lpstr>
      <vt:lpstr>Plate4_Analysis_11_29</vt:lpstr>
      <vt:lpstr>Plate4_RawData_11_29</vt:lpstr>
      <vt:lpstr>Plate3_Analysis_11_29</vt:lpstr>
      <vt:lpstr>Plate3_RawData_11_29</vt:lpstr>
      <vt:lpstr>Plate2_Analysis_11_27 </vt:lpstr>
      <vt:lpstr>Plate2_RawData_11_27</vt:lpstr>
      <vt:lpstr>Plate1_Analysis_11_27</vt:lpstr>
      <vt:lpstr>Plate1_RawData_11_27</vt:lpstr>
      <vt:lpstr>TRIG_11_07_24_RawData</vt:lpstr>
      <vt:lpstr>TRIG_11_07_24_Analysis </vt:lpstr>
      <vt:lpstr>TRIG_10_24_24_RawData</vt:lpstr>
      <vt:lpstr>TRIG_10_24_24_Analysis</vt:lpstr>
      <vt:lpstr>TRIG_10_10_24_Analysis</vt:lpstr>
      <vt:lpstr>TRIG_10_10_24_RawData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Amer</dc:creator>
  <cp:lastModifiedBy>Ali Amer</cp:lastModifiedBy>
  <dcterms:created xsi:type="dcterms:W3CDTF">2024-10-08T19:20:37Z</dcterms:created>
  <dcterms:modified xsi:type="dcterms:W3CDTF">2026-01-28T19:56:21Z</dcterms:modified>
</cp:coreProperties>
</file>