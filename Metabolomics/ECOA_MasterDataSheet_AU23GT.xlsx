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liam\Box\TS_Lab_GopherTortoises\Metabolomics\Data Analysis\"/>
    </mc:Choice>
  </mc:AlternateContent>
  <xr:revisionPtr revIDLastSave="0" documentId="13_ncr:1_{6F7DBBCC-54FC-4C88-9DF5-6FCB336BDBFF}" xr6:coauthVersionLast="47" xr6:coauthVersionMax="47" xr10:uidLastSave="{00000000-0000-0000-0000-000000000000}"/>
  <bookViews>
    <workbookView xWindow="-108" yWindow="-108" windowWidth="23256" windowHeight="14856" firstSheet="1" xr2:uid="{00000000-000D-0000-FFFF-FFFF00000000}"/>
  </bookViews>
  <sheets>
    <sheet name="Master Spreadsheet" sheetId="1" r:id="rId1"/>
    <sheet name="10_29_24_RawData_Plate1" sheetId="11" r:id="rId2"/>
    <sheet name="ECOA_10_10_24_RawData" sheetId="10" r:id="rId3"/>
    <sheet name="ECOA_10_10_24_Optimization" sheetId="8" r:id="rId4"/>
  </sheets>
  <definedNames>
    <definedName name="_xlnm._FilterDatabase" localSheetId="3" hidden="1">ECOA_10_10_24_Optimization!$E$12:$E$84</definedName>
    <definedName name="MethodPointer" localSheetId="1">49099728</definedName>
    <definedName name="MethodPointer" localSheetId="2">170018840</definedName>
    <definedName name="MethodPointer">166869040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L4" i="8"/>
  <c r="B33" i="8"/>
  <c r="B32" i="8"/>
  <c r="C32" i="8" s="1"/>
  <c r="D32" i="8" s="1"/>
  <c r="B31" i="8"/>
  <c r="B30" i="8"/>
  <c r="B29" i="8"/>
  <c r="B28" i="8"/>
  <c r="B27" i="8"/>
  <c r="B26" i="8"/>
  <c r="B25" i="8"/>
  <c r="B24" i="8"/>
  <c r="B23" i="8"/>
  <c r="B22" i="8"/>
  <c r="B21" i="8"/>
  <c r="B20" i="8"/>
  <c r="C20" i="8" s="1"/>
  <c r="B19" i="8"/>
  <c r="B18" i="8"/>
  <c r="B17" i="8"/>
  <c r="B16" i="8"/>
  <c r="B15" i="8"/>
  <c r="B14" i="8"/>
  <c r="B11" i="8"/>
  <c r="B10" i="8"/>
  <c r="B9" i="8"/>
  <c r="B8" i="8"/>
  <c r="B7" i="8"/>
  <c r="B6" i="8"/>
  <c r="B5" i="8"/>
  <c r="B4" i="8"/>
  <c r="B3" i="8"/>
  <c r="B2" i="8"/>
  <c r="C2" i="8" s="1"/>
  <c r="I6" i="8"/>
  <c r="I8" i="8"/>
  <c r="I10" i="8"/>
  <c r="C8" i="8" l="1"/>
  <c r="C22" i="8"/>
  <c r="E22" i="8" s="1"/>
  <c r="F22" i="8" s="1"/>
  <c r="G22" i="8" s="1"/>
  <c r="C28" i="8"/>
  <c r="C30" i="8"/>
  <c r="E30" i="8" s="1"/>
  <c r="F30" i="8" s="1"/>
  <c r="G30" i="8" s="1"/>
  <c r="C26" i="8"/>
  <c r="D26" i="8" s="1"/>
  <c r="C6" i="8"/>
  <c r="C24" i="8"/>
  <c r="D24" i="8" s="1"/>
  <c r="C4" i="8"/>
  <c r="D4" i="8" s="1"/>
  <c r="C10" i="8"/>
  <c r="F10" i="8" s="1"/>
  <c r="C16" i="8"/>
  <c r="D16" i="8" s="1"/>
  <c r="D10" i="8"/>
  <c r="D8" i="8"/>
  <c r="F8" i="8"/>
  <c r="L7" i="8" s="1"/>
  <c r="D6" i="8"/>
  <c r="F6" i="8"/>
  <c r="L6" i="8" s="1"/>
  <c r="C14" i="8"/>
  <c r="E14" i="8" s="1"/>
  <c r="F14" i="8" s="1"/>
  <c r="F2" i="8"/>
  <c r="D2" i="8"/>
  <c r="D22" i="8"/>
  <c r="D28" i="8"/>
  <c r="E28" i="8"/>
  <c r="F28" i="8" s="1"/>
  <c r="G28" i="8" s="1"/>
  <c r="E20" i="8"/>
  <c r="F20" i="8" s="1"/>
  <c r="G20" i="8" s="1"/>
  <c r="D20" i="8"/>
  <c r="C18" i="8"/>
  <c r="E32" i="8"/>
  <c r="F32" i="8" s="1"/>
  <c r="G32" i="8" s="1"/>
  <c r="E26" i="8" l="1"/>
  <c r="F26" i="8" s="1"/>
  <c r="G26" i="8" s="1"/>
  <c r="D30" i="8"/>
  <c r="E24" i="8"/>
  <c r="F24" i="8" s="1"/>
  <c r="G24" i="8" s="1"/>
  <c r="F4" i="8"/>
  <c r="L5" i="8" s="1"/>
  <c r="E16" i="8"/>
  <c r="F16" i="8" s="1"/>
  <c r="G16" i="8" s="1"/>
  <c r="D14" i="8"/>
  <c r="G14" i="8"/>
  <c r="D18" i="8"/>
  <c r="E18" i="8"/>
  <c r="F18" i="8" s="1"/>
  <c r="G18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2000000}">
      <text>
        <r>
          <rPr>
            <sz val="11"/>
            <color theme="1"/>
            <rFont val="Arial"/>
            <family val="2"/>
            <scheme val="minor"/>
          </rPr>
          <t>Note that this is not average, but just the value that seems most in line with other standards.
	-Eric J. Gangloff</t>
        </r>
      </text>
    </comment>
  </commentList>
</comments>
</file>

<file path=xl/sharedStrings.xml><?xml version="1.0" encoding="utf-8"?>
<sst xmlns="http://schemas.openxmlformats.org/spreadsheetml/2006/main" count="600" uniqueCount="195">
  <si>
    <t>ID</t>
  </si>
  <si>
    <t>CV</t>
  </si>
  <si>
    <t>Date</t>
  </si>
  <si>
    <t>Notes</t>
  </si>
  <si>
    <t>Standard</t>
  </si>
  <si>
    <t>Absorbance</t>
  </si>
  <si>
    <t>Mean</t>
  </si>
  <si>
    <t>CorrAbs</t>
  </si>
  <si>
    <t>Concentation</t>
  </si>
  <si>
    <t>Log (Conc)</t>
  </si>
  <si>
    <t>STD_0</t>
  </si>
  <si>
    <t>Data for Plot</t>
  </si>
  <si>
    <t>STD_2</t>
  </si>
  <si>
    <t>STD_3</t>
  </si>
  <si>
    <t>Sample Name</t>
  </si>
  <si>
    <t>Final Concentration</t>
  </si>
  <si>
    <t>Corrected Concentration</t>
  </si>
  <si>
    <t>Slope</t>
  </si>
  <si>
    <t>Intercept</t>
  </si>
  <si>
    <t>Software Version</t>
  </si>
  <si>
    <t>2.09.1</t>
  </si>
  <si>
    <t>Experiment File Path:</t>
  </si>
  <si>
    <t>Protocol File Path:</t>
  </si>
  <si>
    <t>Plate Number</t>
  </si>
  <si>
    <t>Plate 1</t>
  </si>
  <si>
    <t>Time</t>
  </si>
  <si>
    <t>Reader Type: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</si>
  <si>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</si>
  <si>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</si>
  <si>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</si>
  <si>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</si>
  <si>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</si>
  <si>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</si>
  <si>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</si>
  <si>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</si>
  <si>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</si>
  <si>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Layout</t>
  </si>
  <si>
    <t>A</t>
  </si>
  <si>
    <t>BLK</t>
  </si>
  <si>
    <t>SPL4</t>
  </si>
  <si>
    <t>SPL8</t>
  </si>
  <si>
    <t>Well ID</t>
  </si>
  <si>
    <t>Conc/Dil</t>
  </si>
  <si>
    <t>B</t>
  </si>
  <si>
    <t>C</t>
  </si>
  <si>
    <t>STD2</t>
  </si>
  <si>
    <t>SPL1</t>
  </si>
  <si>
    <t>SPL5</t>
  </si>
  <si>
    <t>SPL9</t>
  </si>
  <si>
    <t>D</t>
  </si>
  <si>
    <t>E</t>
  </si>
  <si>
    <t>STD3</t>
  </si>
  <si>
    <t>SPL2</t>
  </si>
  <si>
    <t>SPL6</t>
  </si>
  <si>
    <t>SPL10</t>
  </si>
  <si>
    <t>F</t>
  </si>
  <si>
    <t>G</t>
  </si>
  <si>
    <t>SPL3</t>
  </si>
  <si>
    <t>SPL7</t>
  </si>
  <si>
    <t>H</t>
  </si>
  <si>
    <t>Results</t>
  </si>
  <si>
    <t>Actual Temperature:</t>
  </si>
  <si>
    <t>Well</t>
  </si>
  <si>
    <t>Count</t>
  </si>
  <si>
    <t>Std Dev</t>
  </si>
  <si>
    <t>CV (%)</t>
  </si>
  <si>
    <t>A1</t>
  </si>
  <si>
    <t>B1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</si>
  <si>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</si>
  <si>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</si>
  <si>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</si>
  <si>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</si>
  <si>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</si>
  <si>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</si>
  <si>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</si>
  <si>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</si>
  <si>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</si>
  <si>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</si>
  <si>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</si>
  <si>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</si>
  <si>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</si>
  <si>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</si>
  <si>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</si>
  <si>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</si>
  <si>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</si>
  <si>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</si>
  <si>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</si>
  <si>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</si>
  <si>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C1</t>
  </si>
  <si>
    <t>D1</t>
  </si>
  <si>
    <t>F1</t>
  </si>
  <si>
    <t>E1</t>
  </si>
  <si>
    <t>G1</t>
  </si>
  <si>
    <t>H1</t>
  </si>
  <si>
    <t>A2</t>
  </si>
  <si>
    <t>B2</t>
  </si>
  <si>
    <t>Read Speed: Normal,  Delay: 100 msec,  Measurements/Data Point: 8</t>
  </si>
  <si>
    <t>STD1</t>
  </si>
  <si>
    <t xml:space="preserve">Treatment </t>
  </si>
  <si>
    <t>ECOA</t>
  </si>
  <si>
    <t>GH_Pool</t>
  </si>
  <si>
    <t>GH_Pool_1:2</t>
  </si>
  <si>
    <t>GH_Pool_1:4</t>
  </si>
  <si>
    <t>GH_Pool_1:8</t>
  </si>
  <si>
    <t>OW_Pool</t>
  </si>
  <si>
    <t>OW_Pool_1:2</t>
  </si>
  <si>
    <t>OW_Pool_1:4</t>
  </si>
  <si>
    <t>OW_Pool_1:8</t>
  </si>
  <si>
    <t>STD_1</t>
  </si>
  <si>
    <t>Overwinter</t>
  </si>
  <si>
    <t>Greenhouse</t>
  </si>
  <si>
    <t>E:\GT_Metabolomics\2024_10_10_ECOA_Optimization.xpt</t>
  </si>
  <si>
    <t>C:\Users\Public\Documents\Protocols\Schwartz_ECOA.prt</t>
  </si>
  <si>
    <t>Cytation3</t>
  </si>
  <si>
    <t>Random</t>
  </si>
  <si>
    <t>Wavelengths:  570</t>
  </si>
  <si>
    <t>STD4</t>
  </si>
  <si>
    <t>Blank</t>
  </si>
  <si>
    <t>Blank 570</t>
  </si>
  <si>
    <t xml:space="preserve">Issue with Standard Curve </t>
  </si>
  <si>
    <t>NOTES</t>
  </si>
  <si>
    <t xml:space="preserve">Sample Color Scheme: </t>
  </si>
  <si>
    <t>Red highlight means CV &gt; 10</t>
  </si>
  <si>
    <t>NOTES:</t>
  </si>
  <si>
    <t xml:space="preserve">Repeat assay and remake STD curve. </t>
  </si>
  <si>
    <t>dilution</t>
  </si>
  <si>
    <t>3.2 (C)</t>
  </si>
  <si>
    <t xml:space="preserve">3.3 (C) </t>
  </si>
  <si>
    <t xml:space="preserve">7.2 (C) </t>
  </si>
  <si>
    <t xml:space="preserve">14.5 (C) </t>
  </si>
  <si>
    <t xml:space="preserve">15.1 (C) </t>
  </si>
  <si>
    <t xml:space="preserve">9.6 (C) </t>
  </si>
  <si>
    <t xml:space="preserve">5.4 (C) </t>
  </si>
  <si>
    <t xml:space="preserve">6.2(C) </t>
  </si>
  <si>
    <t xml:space="preserve">5.2 (C) </t>
  </si>
  <si>
    <t xml:space="preserve">13.2 (C) </t>
  </si>
  <si>
    <t xml:space="preserve">6.4 (C) </t>
  </si>
  <si>
    <t xml:space="preserve">12.2 (C) </t>
  </si>
  <si>
    <t xml:space="preserve">5.5 (C) </t>
  </si>
  <si>
    <t xml:space="preserve">13.1 (C) </t>
  </si>
  <si>
    <t xml:space="preserve">5.1 (C) </t>
  </si>
  <si>
    <t xml:space="preserve">12.5 (C) </t>
  </si>
  <si>
    <t xml:space="preserve">10.6 (C) </t>
  </si>
  <si>
    <t xml:space="preserve">10.1 (C) </t>
  </si>
  <si>
    <t xml:space="preserve">7.3 (C) </t>
  </si>
  <si>
    <t xml:space="preserve">9.4 (C) </t>
  </si>
  <si>
    <t xml:space="preserve">14.4 (C) </t>
  </si>
  <si>
    <t xml:space="preserve">15.2 (C) </t>
  </si>
  <si>
    <t>H7</t>
  </si>
  <si>
    <t>G7</t>
  </si>
  <si>
    <t>SPL23</t>
  </si>
  <si>
    <t>F7</t>
  </si>
  <si>
    <t>E7</t>
  </si>
  <si>
    <t>SPL22</t>
  </si>
  <si>
    <t>H6</t>
  </si>
  <si>
    <t>G6</t>
  </si>
  <si>
    <t>SPL21</t>
  </si>
  <si>
    <t>F6</t>
  </si>
  <si>
    <t>E6</t>
  </si>
  <si>
    <t>SPL20</t>
  </si>
  <si>
    <t>D6</t>
  </si>
  <si>
    <t>C6</t>
  </si>
  <si>
    <t>SPL19</t>
  </si>
  <si>
    <t>B6</t>
  </si>
  <si>
    <t>A6</t>
  </si>
  <si>
    <t>SPL18</t>
  </si>
  <si>
    <t>F5</t>
  </si>
  <si>
    <t>E5</t>
  </si>
  <si>
    <t>SPL17</t>
  </si>
  <si>
    <t>D5</t>
  </si>
  <si>
    <t>C5</t>
  </si>
  <si>
    <t>SPL16</t>
  </si>
  <si>
    <t>B5</t>
  </si>
  <si>
    <t>A5</t>
  </si>
  <si>
    <t>SPL15</t>
  </si>
  <si>
    <t>H4</t>
  </si>
  <si>
    <t>G4</t>
  </si>
  <si>
    <t>SPL14</t>
  </si>
  <si>
    <t>SPL13</t>
  </si>
  <si>
    <t>SPL12</t>
  </si>
  <si>
    <t>SPL11</t>
  </si>
  <si>
    <t>H5</t>
  </si>
  <si>
    <t>G5</t>
  </si>
  <si>
    <t>D7</t>
  </si>
  <si>
    <t>C7</t>
  </si>
  <si>
    <t>[Concentration]</t>
  </si>
  <si>
    <t>Y=A*X+B</t>
  </si>
  <si>
    <t>StdCurve</t>
  </si>
  <si>
    <t>Fit F Prob</t>
  </si>
  <si>
    <t>R2</t>
  </si>
  <si>
    <t>Curve Formula</t>
  </si>
  <si>
    <t>Curve Name</t>
  </si>
  <si>
    <t>StdCurve Fitting Results</t>
  </si>
  <si>
    <t>Full Plate</t>
  </si>
  <si>
    <t>E:\GT_Metabolomics\ECOA_11_29_24_Plate1.xpt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</si>
</sst>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7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b/>
      <sz val="11"/>
      <color theme="1"/>
      <name val="Arial"/>
      <family val="2"/>
      <scheme val="minor"/>
    </font>
    <font>
      <sz val="10"/>
      <name val="Arial"/>
    </font>
  </fonts>
  <fills count="2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DD7E6B"/>
        <bgColor rgb="FFDD7E6B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0" fillId="0" borderId="0"/>
    <xf numFmtId="0" fontId="16" fillId="0" borderId="0"/>
  </cellStyleXfs>
  <cellXfs count="67">
    <xf numFmtId="0" fontId="0" fillId="0" borderId="0" xfId="0"/>
    <xf numFmtId="14" fontId="3" fillId="0" borderId="0" xfId="0" applyNumberFormat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6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3" fontId="5" fillId="0" borderId="0" xfId="0" applyNumberFormat="1" applyFont="1"/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10" fillId="0" borderId="0" xfId="1"/>
    <xf numFmtId="14" fontId="10" fillId="0" borderId="0" xfId="1" applyNumberFormat="1"/>
    <xf numFmtId="19" fontId="10" fillId="0" borderId="0" xfId="1" applyNumberFormat="1"/>
    <xf numFmtId="0" fontId="11" fillId="0" borderId="0" xfId="1" applyFont="1" applyAlignment="1">
      <alignment horizontal="left" vertical="center" wrapText="1"/>
    </xf>
    <xf numFmtId="0" fontId="12" fillId="0" borderId="0" xfId="1" applyFont="1" applyAlignment="1">
      <alignment horizontal="left" vertical="center" wrapText="1"/>
    </xf>
    <xf numFmtId="0" fontId="10" fillId="6" borderId="1" xfId="1" applyFill="1" applyBorder="1" applyAlignment="1">
      <alignment vertical="center" wrapText="1"/>
    </xf>
    <xf numFmtId="0" fontId="13" fillId="6" borderId="1" xfId="1" applyFont="1" applyFill="1" applyBorder="1" applyAlignment="1">
      <alignment horizontal="center" vertical="center" wrapText="1"/>
    </xf>
    <xf numFmtId="0" fontId="12" fillId="7" borderId="2" xfId="1" applyFont="1" applyFill="1" applyBorder="1" applyAlignment="1">
      <alignment horizontal="center" vertical="center" wrapText="1"/>
    </xf>
    <xf numFmtId="0" fontId="12" fillId="8" borderId="2" xfId="1" applyFont="1" applyFill="1" applyBorder="1" applyAlignment="1">
      <alignment horizontal="center" vertical="center" wrapText="1"/>
    </xf>
    <xf numFmtId="0" fontId="12" fillId="9" borderId="2" xfId="1" applyFont="1" applyFill="1" applyBorder="1" applyAlignment="1">
      <alignment horizontal="center" vertical="center" wrapText="1"/>
    </xf>
    <xf numFmtId="0" fontId="14" fillId="0" borderId="0" xfId="1" applyFont="1" applyAlignment="1">
      <alignment horizontal="left" vertical="center" wrapText="1"/>
    </xf>
    <xf numFmtId="0" fontId="12" fillId="7" borderId="3" xfId="1" applyFont="1" applyFill="1" applyBorder="1" applyAlignment="1">
      <alignment horizontal="center" vertical="center" wrapText="1"/>
    </xf>
    <xf numFmtId="0" fontId="12" fillId="8" borderId="3" xfId="1" applyFont="1" applyFill="1" applyBorder="1" applyAlignment="1">
      <alignment horizontal="center" vertical="center" wrapText="1"/>
    </xf>
    <xf numFmtId="0" fontId="12" fillId="9" borderId="3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2" fillId="10" borderId="2" xfId="1" applyFont="1" applyFill="1" applyBorder="1" applyAlignment="1">
      <alignment horizontal="center" vertical="center" wrapText="1"/>
    </xf>
    <xf numFmtId="0" fontId="12" fillId="10" borderId="3" xfId="1" applyFont="1" applyFill="1" applyBorder="1" applyAlignment="1">
      <alignment horizontal="center" vertical="center" wrapText="1"/>
    </xf>
    <xf numFmtId="11" fontId="5" fillId="0" borderId="0" xfId="0" applyNumberFormat="1" applyFont="1"/>
    <xf numFmtId="0" fontId="15" fillId="0" borderId="0" xfId="0" applyFont="1"/>
    <xf numFmtId="0" fontId="9" fillId="11" borderId="0" xfId="0" applyFont="1" applyFill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5" fillId="13" borderId="0" xfId="0" applyFont="1" applyFill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0" xfId="0" applyFont="1" applyFill="1"/>
    <xf numFmtId="0" fontId="2" fillId="0" borderId="0" xfId="0" applyFont="1"/>
    <xf numFmtId="0" fontId="5" fillId="11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5" fillId="18" borderId="1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19" borderId="1" xfId="0" applyFont="1" applyFill="1" applyBorder="1" applyAlignment="1">
      <alignment horizontal="center"/>
    </xf>
    <xf numFmtId="0" fontId="16" fillId="0" borderId="0" xfId="2"/>
    <xf numFmtId="0" fontId="12" fillId="0" borderId="1" xfId="2" applyFont="1" applyBorder="1" applyAlignment="1">
      <alignment horizontal="center" vertical="center" wrapText="1"/>
    </xf>
    <xf numFmtId="0" fontId="13" fillId="6" borderId="1" xfId="2" applyFont="1" applyFill="1" applyBorder="1" applyAlignment="1">
      <alignment horizontal="center" vertical="center" wrapText="1"/>
    </xf>
    <xf numFmtId="0" fontId="12" fillId="0" borderId="0" xfId="2" applyFont="1" applyAlignment="1">
      <alignment horizontal="left" vertical="center" wrapText="1"/>
    </xf>
    <xf numFmtId="0" fontId="11" fillId="0" borderId="0" xfId="2" applyFont="1" applyAlignment="1">
      <alignment horizontal="left" vertical="center" wrapText="1"/>
    </xf>
    <xf numFmtId="0" fontId="14" fillId="0" borderId="0" xfId="2" applyFont="1" applyAlignment="1">
      <alignment horizontal="left" vertical="center" wrapText="1"/>
    </xf>
    <xf numFmtId="0" fontId="12" fillId="7" borderId="1" xfId="2" applyFont="1" applyFill="1" applyBorder="1" applyAlignment="1">
      <alignment horizontal="center" vertical="center" wrapText="1"/>
    </xf>
    <xf numFmtId="0" fontId="12" fillId="9" borderId="1" xfId="2" applyFont="1" applyFill="1" applyBorder="1" applyAlignment="1">
      <alignment horizontal="center" vertical="center" wrapText="1"/>
    </xf>
    <xf numFmtId="0" fontId="12" fillId="10" borderId="1" xfId="2" applyFont="1" applyFill="1" applyBorder="1" applyAlignment="1">
      <alignment horizontal="center" vertical="center" wrapText="1"/>
    </xf>
    <xf numFmtId="0" fontId="16" fillId="6" borderId="1" xfId="2" applyFill="1" applyBorder="1" applyAlignment="1">
      <alignment vertical="center" wrapText="1"/>
    </xf>
    <xf numFmtId="19" fontId="16" fillId="0" borderId="0" xfId="2" applyNumberFormat="1"/>
    <xf numFmtId="14" fontId="16" fillId="0" borderId="0" xfId="2" applyNumberFormat="1"/>
    <xf numFmtId="14" fontId="0" fillId="0" borderId="0" xfId="0" applyNumberFormat="1"/>
    <xf numFmtId="0" fontId="1" fillId="0" borderId="0" xfId="0" applyFont="1" applyAlignment="1">
      <alignment horizontal="center"/>
    </xf>
    <xf numFmtId="0" fontId="13" fillId="6" borderId="2" xfId="1" applyFont="1" applyFill="1" applyBorder="1" applyAlignment="1">
      <alignment horizontal="center" vertical="center" wrapText="1"/>
    </xf>
    <xf numFmtId="0" fontId="13" fillId="6" borderId="3" xfId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/>
  </cellXfs>
  <cellStyles count="3">
    <cellStyle name="Normal" xfId="0" builtinId="0"/>
    <cellStyle name="Normal 2" xfId="1" xr:uid="{DAEDCFAF-1B66-4B15-868A-7D219D72E2EE}"/>
    <cellStyle name="Normal 3" xfId="2" xr:uid="{1C1FB956-8684-4B29-9683-12A4373642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</a:t>
            </a:r>
            <a:r>
              <a:rPr lang="en-US" baseline="0"/>
              <a:t>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2669072615923009E-2"/>
                  <c:y val="-0.203577209098862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ECOA_10_10_24_Optimization!$K$4:$K$7</c:f>
              <c:numCache>
                <c:formatCode>#,##0</c:formatCode>
                <c:ptCount val="4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1000</c:v>
                </c:pt>
              </c:numCache>
            </c:numRef>
          </c:xVal>
          <c:yVal>
            <c:numRef>
              <c:f>ECOA_10_10_24_Optimization!$L$4:$L$7</c:f>
              <c:numCache>
                <c:formatCode>#,##0.0000</c:formatCode>
                <c:ptCount val="4"/>
                <c:pt idx="0">
                  <c:v>0</c:v>
                </c:pt>
                <c:pt idx="1">
                  <c:v>3.7499999999999992E-2</c:v>
                </c:pt>
                <c:pt idx="2">
                  <c:v>1.4999999999999999E-2</c:v>
                </c:pt>
                <c:pt idx="3">
                  <c:v>1.4499999999999999E-2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B3-43EB-9CC8-FC7A59A91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0975232"/>
        <c:axId val="1010969472"/>
      </c:scatterChart>
      <c:valAx>
        <c:axId val="101097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969472"/>
        <c:crosses val="autoZero"/>
        <c:crossBetween val="midCat"/>
      </c:valAx>
      <c:valAx>
        <c:axId val="101096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97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ECOA_10_10_24_Optimization!$J$22</c:f>
              <c:strCache>
                <c:ptCount val="1"/>
                <c:pt idx="0">
                  <c:v>Overwinter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ECOA_10_10_24_Optimization!$I$24:$I$26</c:f>
              <c:numCache>
                <c:formatCode>General</c:formatCode>
                <c:ptCount val="3"/>
                <c:pt idx="0">
                  <c:v>0.5</c:v>
                </c:pt>
                <c:pt idx="1">
                  <c:v>0.25</c:v>
                </c:pt>
                <c:pt idx="2">
                  <c:v>0.125</c:v>
                </c:pt>
              </c:numCache>
            </c:numRef>
          </c:xVal>
          <c:yVal>
            <c:numRef>
              <c:f>ECOA_10_10_24_Optimization!$J$24:$J$26</c:f>
              <c:numCache>
                <c:formatCode>General</c:formatCode>
                <c:ptCount val="3"/>
                <c:pt idx="0">
                  <c:v>1.2989999999999999</c:v>
                </c:pt>
                <c:pt idx="1">
                  <c:v>0.87250000000000005</c:v>
                </c:pt>
                <c:pt idx="2">
                  <c:v>0.51350000000000007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42-424F-9653-688E683A2082}"/>
            </c:ext>
          </c:extLst>
        </c:ser>
        <c:ser>
          <c:idx val="1"/>
          <c:order val="1"/>
          <c:tx>
            <c:strRef>
              <c:f>ECOA_10_10_24_Optimization!$K$22:$K$23</c:f>
              <c:strCache>
                <c:ptCount val="2"/>
                <c:pt idx="0">
                  <c:v>Greenhouse</c:v>
                </c:pt>
                <c:pt idx="1">
                  <c:v>1.5395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ECOA_10_10_24_Optimization!$I$24:$I$26</c:f>
              <c:numCache>
                <c:formatCode>General</c:formatCode>
                <c:ptCount val="3"/>
                <c:pt idx="0">
                  <c:v>0.5</c:v>
                </c:pt>
                <c:pt idx="1">
                  <c:v>0.25</c:v>
                </c:pt>
                <c:pt idx="2">
                  <c:v>0.125</c:v>
                </c:pt>
              </c:numCache>
            </c:numRef>
          </c:xVal>
          <c:yVal>
            <c:numRef>
              <c:f>ECOA_10_10_24_Optimization!$K$23:$K$26</c:f>
              <c:numCache>
                <c:formatCode>General</c:formatCode>
                <c:ptCount val="4"/>
                <c:pt idx="0">
                  <c:v>1.5394999999999999</c:v>
                </c:pt>
                <c:pt idx="1">
                  <c:v>1.7229999999999999</c:v>
                </c:pt>
                <c:pt idx="2">
                  <c:v>1.0230000000000001</c:v>
                </c:pt>
                <c:pt idx="3">
                  <c:v>0.72049999999999992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42-424F-9653-688E683A2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387008"/>
        <c:axId val="1833388720"/>
      </c:scatterChart>
      <c:valAx>
        <c:axId val="183338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388720"/>
        <c:crosses val="autoZero"/>
        <c:crossBetween val="midCat"/>
      </c:valAx>
      <c:valAx>
        <c:axId val="183338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387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1381125</xdr:colOff>
      <xdr:row>156</xdr:row>
      <xdr:rowOff>0</xdr:rowOff>
    </xdr:from>
    <xdr:ext cx="7686675" cy="5253990"/>
    <xdr:pic>
      <xdr:nvPicPr>
        <xdr:cNvPr id="2" name="Picture 1">
          <a:extLst>
            <a:ext uri="{FF2B5EF4-FFF2-40B4-BE49-F238E27FC236}">
              <a16:creationId xmlns:a16="http://schemas.microsoft.com/office/drawing/2014/main" id="{7BAA3813-E508-41CD-914E-A5D21F0A7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505" y="26151840"/>
          <a:ext cx="7686675" cy="52539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560070</xdr:colOff>
      <xdr:row>12</xdr:row>
      <xdr:rowOff>137160</xdr:rowOff>
    </xdr:from>
    <xdr:to>
      <xdr:col>19</xdr:col>
      <xdr:colOff>499110</xdr:colOff>
      <xdr:row>26</xdr:row>
      <xdr:rowOff>106680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67C9874-4513-24E7-0810-B088A66C42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681567</xdr:colOff>
      <xdr:row>29</xdr:row>
      <xdr:rowOff>4233</xdr:rowOff>
    </xdr:from>
    <xdr:to>
      <xdr:col>14</xdr:col>
      <xdr:colOff>554567</xdr:colOff>
      <xdr:row>43</xdr:row>
      <xdr:rowOff>21167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39F0F6-0C9E-234C-FD30-26E5B7BE9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773"/>
  <sheetViews>
    <sheetView tabSelected="1" zoomScale="82" zoomScaleNormal="82" workbookViewId="0">
      <pane xSplit="1" topLeftCell="B1" activePane="topRight" state="frozen"/>
      <selection pane="topRight" activeCell="AI12" sqref="AI12"/>
    </sheetView>
  </sheetViews>
  <sheetFormatPr defaultColWidth="12.69921875" defaultRowHeight="15" customHeight="1" x14ac:dyDescent="0.25"/>
  <cols>
    <col min="2" max="3" width="6.19921875" customWidth="1"/>
    <col min="4" max="4" width="14.19921875" customWidth="1"/>
    <col min="5" max="5" width="11.19921875" customWidth="1"/>
    <col min="6" max="6" width="69.19921875" customWidth="1"/>
  </cols>
  <sheetData>
    <row r="1" spans="1:6" ht="13.8" x14ac:dyDescent="0.25">
      <c r="A1" s="11" t="s">
        <v>0</v>
      </c>
      <c r="B1" s="11" t="s">
        <v>99</v>
      </c>
      <c r="C1" s="62" t="s">
        <v>1</v>
      </c>
      <c r="D1" s="11" t="s">
        <v>98</v>
      </c>
      <c r="E1" s="12" t="s">
        <v>2</v>
      </c>
      <c r="F1" s="11" t="s">
        <v>3</v>
      </c>
    </row>
    <row r="2" spans="1:6" ht="14.4" x14ac:dyDescent="0.3">
      <c r="A2" s="45" t="s">
        <v>126</v>
      </c>
      <c r="B2" s="8">
        <f>'10_29_24_RawData_Plate1'!G108</f>
        <v>0.14599999999999999</v>
      </c>
      <c r="C2" s="50">
        <v>1.9390000000000001</v>
      </c>
      <c r="D2" t="s">
        <v>109</v>
      </c>
      <c r="E2" s="61">
        <v>45625</v>
      </c>
    </row>
    <row r="3" spans="1:6" ht="14.4" x14ac:dyDescent="0.3">
      <c r="A3" s="46" t="s">
        <v>127</v>
      </c>
      <c r="B3" s="8">
        <f>'10_29_24_RawData_Plate1'!G110</f>
        <v>0.44900000000000001</v>
      </c>
      <c r="C3" s="50">
        <v>24.306000000000001</v>
      </c>
      <c r="D3" t="s">
        <v>110</v>
      </c>
      <c r="E3" s="61">
        <v>45625</v>
      </c>
    </row>
    <row r="4" spans="1:6" ht="14.4" x14ac:dyDescent="0.3">
      <c r="A4" s="46" t="s">
        <v>128</v>
      </c>
      <c r="B4" s="8">
        <f>'10_29_24_RawData_Plate1'!G112</f>
        <v>0.45100000000000001</v>
      </c>
      <c r="C4" s="50">
        <v>6.351</v>
      </c>
      <c r="D4" t="s">
        <v>110</v>
      </c>
      <c r="E4" s="61">
        <v>45625</v>
      </c>
    </row>
    <row r="5" spans="1:6" ht="14.4" x14ac:dyDescent="0.3">
      <c r="A5" s="45" t="s">
        <v>129</v>
      </c>
      <c r="B5" s="8">
        <f>'10_29_24_RawData_Plate1'!G114</f>
        <v>8.8999999999999996E-2</v>
      </c>
      <c r="C5" s="50">
        <v>38.545999999999999</v>
      </c>
      <c r="D5" t="s">
        <v>109</v>
      </c>
      <c r="E5" s="61">
        <v>45625</v>
      </c>
    </row>
    <row r="6" spans="1:6" ht="14.4" x14ac:dyDescent="0.3">
      <c r="A6" s="46" t="s">
        <v>130</v>
      </c>
      <c r="B6" s="8">
        <f>'10_29_24_RawData_Plate1'!G116</f>
        <v>4.2999999999999997E-2</v>
      </c>
      <c r="C6" s="50">
        <v>244.79499999999999</v>
      </c>
      <c r="D6" t="s">
        <v>110</v>
      </c>
      <c r="E6" s="61">
        <v>45625</v>
      </c>
    </row>
    <row r="7" spans="1:6" ht="14.4" x14ac:dyDescent="0.3">
      <c r="A7" s="45" t="s">
        <v>131</v>
      </c>
      <c r="B7" s="8">
        <f>'10_29_24_RawData_Plate1'!G118</f>
        <v>0.151</v>
      </c>
      <c r="C7" s="50">
        <v>30.314</v>
      </c>
      <c r="D7" t="s">
        <v>109</v>
      </c>
      <c r="E7" s="61">
        <v>45625</v>
      </c>
    </row>
    <row r="8" spans="1:6" ht="14.4" x14ac:dyDescent="0.3">
      <c r="A8" s="45" t="s">
        <v>132</v>
      </c>
      <c r="B8" s="8">
        <f>'10_29_24_RawData_Plate1'!G120</f>
        <v>0.156</v>
      </c>
      <c r="C8" s="50">
        <v>37.715000000000003</v>
      </c>
      <c r="D8" t="s">
        <v>109</v>
      </c>
      <c r="E8" s="61">
        <v>45625</v>
      </c>
    </row>
    <row r="9" spans="1:6" ht="14.4" x14ac:dyDescent="0.3">
      <c r="A9" s="46" t="s">
        <v>133</v>
      </c>
      <c r="B9" s="8">
        <f>'10_29_24_RawData_Plate1'!G122</f>
        <v>0.25700000000000001</v>
      </c>
      <c r="C9" s="50">
        <v>13.237</v>
      </c>
      <c r="D9" t="s">
        <v>110</v>
      </c>
      <c r="E9" s="61">
        <v>45625</v>
      </c>
    </row>
    <row r="10" spans="1:6" ht="14.4" x14ac:dyDescent="0.3">
      <c r="A10" s="45" t="s">
        <v>134</v>
      </c>
      <c r="B10" s="8">
        <f>'10_29_24_RawData_Plate1'!G124</f>
        <v>0.123</v>
      </c>
      <c r="C10" s="50">
        <v>8.7110000000000003</v>
      </c>
      <c r="D10" t="s">
        <v>109</v>
      </c>
      <c r="E10" s="61">
        <v>45625</v>
      </c>
    </row>
    <row r="11" spans="1:6" ht="14.4" x14ac:dyDescent="0.3">
      <c r="A11" s="46" t="s">
        <v>135</v>
      </c>
      <c r="B11" s="8">
        <f>'10_29_24_RawData_Plate1'!G126</f>
        <v>0.29799999999999999</v>
      </c>
      <c r="C11" s="50">
        <v>26.745999999999999</v>
      </c>
      <c r="D11" t="s">
        <v>110</v>
      </c>
      <c r="E11" s="61">
        <v>45625</v>
      </c>
    </row>
    <row r="12" spans="1:6" ht="14.4" x14ac:dyDescent="0.3">
      <c r="A12" s="47" t="s">
        <v>136</v>
      </c>
      <c r="B12" s="8">
        <f>'10_29_24_RawData_Plate1'!G128</f>
        <v>0.13700000000000001</v>
      </c>
      <c r="C12" s="50">
        <v>4.9409999999999998</v>
      </c>
      <c r="D12" t="s">
        <v>109</v>
      </c>
      <c r="E12" s="61">
        <v>45625</v>
      </c>
    </row>
    <row r="13" spans="1:6" ht="14.4" x14ac:dyDescent="0.3">
      <c r="A13" s="46" t="s">
        <v>137</v>
      </c>
      <c r="B13" s="8">
        <f>'10_29_24_RawData_Plate1'!G130</f>
        <v>0.247</v>
      </c>
      <c r="C13" s="50">
        <v>2.121</v>
      </c>
      <c r="D13" t="s">
        <v>110</v>
      </c>
      <c r="E13" s="61">
        <v>45625</v>
      </c>
    </row>
    <row r="14" spans="1:6" ht="14.4" x14ac:dyDescent="0.3">
      <c r="A14" s="46" t="s">
        <v>138</v>
      </c>
      <c r="B14" s="8">
        <f>'10_29_24_RawData_Plate1'!G132</f>
        <v>0.32</v>
      </c>
      <c r="C14" s="50">
        <v>36.225000000000001</v>
      </c>
      <c r="D14" t="s">
        <v>110</v>
      </c>
      <c r="E14" s="61">
        <v>45625</v>
      </c>
    </row>
    <row r="15" spans="1:6" ht="14.4" x14ac:dyDescent="0.3">
      <c r="A15" s="45" t="s">
        <v>139</v>
      </c>
      <c r="B15" s="8">
        <f>'10_29_24_RawData_Plate1'!G134</f>
        <v>0.14799999999999999</v>
      </c>
      <c r="C15" s="50">
        <v>9.3650000000000002</v>
      </c>
      <c r="D15" t="s">
        <v>109</v>
      </c>
      <c r="E15" s="61">
        <v>45625</v>
      </c>
    </row>
    <row r="16" spans="1:6" ht="14.4" x14ac:dyDescent="0.3">
      <c r="A16" s="46" t="s">
        <v>140</v>
      </c>
      <c r="B16" s="8">
        <f>'10_29_24_RawData_Plate1'!G136</f>
        <v>0.39700000000000002</v>
      </c>
      <c r="C16" s="50">
        <v>5.0720000000000001</v>
      </c>
      <c r="D16" t="s">
        <v>110</v>
      </c>
      <c r="E16" s="61">
        <v>45625</v>
      </c>
    </row>
    <row r="17" spans="1:5" ht="14.4" x14ac:dyDescent="0.3">
      <c r="A17" s="45" t="s">
        <v>141</v>
      </c>
      <c r="B17" s="8">
        <f>'10_29_24_RawData_Plate1'!G138</f>
        <v>0.19900000000000001</v>
      </c>
      <c r="C17" s="50">
        <v>10.638999999999999</v>
      </c>
      <c r="D17" t="s">
        <v>109</v>
      </c>
      <c r="E17" s="61">
        <v>45625</v>
      </c>
    </row>
    <row r="18" spans="1:5" ht="14.4" x14ac:dyDescent="0.3">
      <c r="A18" s="45" t="s">
        <v>142</v>
      </c>
      <c r="B18" s="8">
        <f>'10_29_24_RawData_Plate1'!G140</f>
        <v>0.20699999999999999</v>
      </c>
      <c r="C18" s="50">
        <v>7.6989999999999998</v>
      </c>
      <c r="D18" t="s">
        <v>109</v>
      </c>
      <c r="E18" s="61">
        <v>45625</v>
      </c>
    </row>
    <row r="19" spans="1:5" ht="14.4" x14ac:dyDescent="0.3">
      <c r="A19" s="45" t="s">
        <v>142</v>
      </c>
      <c r="B19" s="8">
        <f>'10_29_24_RawData_Plate1'!G142</f>
        <v>4.7E-2</v>
      </c>
      <c r="C19" s="50">
        <v>11.092000000000001</v>
      </c>
      <c r="D19" t="s">
        <v>109</v>
      </c>
      <c r="E19" s="61">
        <v>45625</v>
      </c>
    </row>
    <row r="20" spans="1:5" ht="14.4" x14ac:dyDescent="0.3">
      <c r="A20" s="46" t="s">
        <v>143</v>
      </c>
      <c r="B20" s="8">
        <f>'10_29_24_RawData_Plate1'!G144</f>
        <v>0.158</v>
      </c>
      <c r="C20" s="50">
        <v>45.862000000000002</v>
      </c>
      <c r="D20" t="s">
        <v>110</v>
      </c>
      <c r="E20" s="61">
        <v>45625</v>
      </c>
    </row>
    <row r="21" spans="1:5" ht="14.4" x14ac:dyDescent="0.3">
      <c r="A21" s="45" t="s">
        <v>144</v>
      </c>
      <c r="B21" s="8">
        <f>'10_29_24_RawData_Plate1'!G146</f>
        <v>7.8E-2</v>
      </c>
      <c r="C21" s="50">
        <v>26.701000000000001</v>
      </c>
      <c r="D21" t="s">
        <v>109</v>
      </c>
      <c r="E21" s="61">
        <v>45625</v>
      </c>
    </row>
    <row r="22" spans="1:5" ht="14.4" x14ac:dyDescent="0.3">
      <c r="A22" s="14" t="s">
        <v>145</v>
      </c>
      <c r="B22" s="8">
        <f>'10_29_24_RawData_Plate1'!G148</f>
        <v>-0.111</v>
      </c>
      <c r="C22" s="50">
        <v>-1.85</v>
      </c>
      <c r="D22" t="s">
        <v>110</v>
      </c>
      <c r="E22" s="61">
        <v>45625</v>
      </c>
    </row>
    <row r="23" spans="1:5" ht="14.4" x14ac:dyDescent="0.3">
      <c r="A23" s="46" t="s">
        <v>146</v>
      </c>
      <c r="B23" s="8">
        <f>'10_29_24_RawData_Plate1'!G150</f>
        <v>0.17299999999999999</v>
      </c>
      <c r="C23" s="50">
        <v>17.571000000000002</v>
      </c>
      <c r="D23" t="s">
        <v>110</v>
      </c>
      <c r="E23" s="61">
        <v>45625</v>
      </c>
    </row>
    <row r="24" spans="1:5" ht="14.4" x14ac:dyDescent="0.3">
      <c r="A24" s="48" t="s">
        <v>147</v>
      </c>
      <c r="B24" s="8">
        <f>'10_29_24_RawData_Plate1'!G152</f>
        <v>9.6000000000000002E-2</v>
      </c>
      <c r="C24" s="50">
        <v>28.611000000000001</v>
      </c>
      <c r="D24" t="s">
        <v>109</v>
      </c>
      <c r="E24" s="61">
        <v>45625</v>
      </c>
    </row>
    <row r="25" spans="1:5" ht="13.8" x14ac:dyDescent="0.25"/>
    <row r="26" spans="1:5" ht="13.8" x14ac:dyDescent="0.25"/>
    <row r="27" spans="1:5" ht="13.8" x14ac:dyDescent="0.25"/>
    <row r="28" spans="1:5" ht="13.8" x14ac:dyDescent="0.25"/>
    <row r="30" spans="1:5" ht="13.8" x14ac:dyDescent="0.25"/>
    <row r="31" spans="1:5" ht="13.8" x14ac:dyDescent="0.25"/>
    <row r="32" spans="1:5" ht="13.8" x14ac:dyDescent="0.25"/>
    <row r="33" ht="13.8" x14ac:dyDescent="0.25"/>
    <row r="34" ht="13.8" x14ac:dyDescent="0.25"/>
    <row r="35" ht="13.8" x14ac:dyDescent="0.25"/>
    <row r="36" ht="13.8" x14ac:dyDescent="0.25"/>
    <row r="37" ht="13.8" x14ac:dyDescent="0.25"/>
    <row r="38" ht="13.8" x14ac:dyDescent="0.25"/>
    <row r="39" ht="13.8" x14ac:dyDescent="0.25"/>
    <row r="40" ht="13.8" x14ac:dyDescent="0.25"/>
    <row r="41" ht="13.8" x14ac:dyDescent="0.25"/>
    <row r="42" ht="13.8" x14ac:dyDescent="0.25"/>
    <row r="43" ht="13.8" x14ac:dyDescent="0.25"/>
    <row r="44" ht="13.8" x14ac:dyDescent="0.25"/>
    <row r="45" ht="13.8" x14ac:dyDescent="0.25"/>
    <row r="46" ht="13.8" x14ac:dyDescent="0.25"/>
    <row r="47" ht="13.8" x14ac:dyDescent="0.25"/>
    <row r="48" ht="13.8" x14ac:dyDescent="0.25"/>
    <row r="49" spans="1:18" ht="13.8" x14ac:dyDescent="0.25"/>
    <row r="50" spans="1:18" ht="13.8" x14ac:dyDescent="0.25"/>
    <row r="51" spans="1:18" ht="13.8" x14ac:dyDescent="0.25"/>
    <row r="52" spans="1:18" ht="13.8" x14ac:dyDescent="0.25"/>
    <row r="53" spans="1:18" ht="13.8" x14ac:dyDescent="0.25"/>
    <row r="54" spans="1:18" ht="13.8" x14ac:dyDescent="0.25"/>
    <row r="55" spans="1:18" ht="13.8" x14ac:dyDescent="0.25">
      <c r="A55" s="2"/>
      <c r="B55" s="2"/>
      <c r="C55" s="2"/>
    </row>
    <row r="56" spans="1:18" ht="13.8" x14ac:dyDescent="0.25"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ht="13.8" x14ac:dyDescent="0.25"/>
    <row r="58" spans="1:18" ht="13.8" x14ac:dyDescent="0.25"/>
    <row r="59" spans="1:18" ht="13.8" x14ac:dyDescent="0.25"/>
    <row r="60" spans="1:18" ht="13.8" x14ac:dyDescent="0.25"/>
    <row r="61" spans="1:18" ht="13.8" x14ac:dyDescent="0.25"/>
    <row r="62" spans="1:18" ht="13.8" x14ac:dyDescent="0.25"/>
    <row r="63" spans="1:18" ht="13.8" x14ac:dyDescent="0.25"/>
    <row r="64" spans="1:18" ht="13.8" x14ac:dyDescent="0.25"/>
    <row r="65" ht="13.8" x14ac:dyDescent="0.25"/>
    <row r="66" ht="13.8" x14ac:dyDescent="0.25"/>
    <row r="67" ht="13.8" x14ac:dyDescent="0.25"/>
    <row r="68" ht="13.8" x14ac:dyDescent="0.25"/>
    <row r="69" ht="13.8" x14ac:dyDescent="0.25"/>
    <row r="70" ht="13.8" x14ac:dyDescent="0.25"/>
    <row r="71" ht="13.8" x14ac:dyDescent="0.25"/>
    <row r="72" ht="13.8" x14ac:dyDescent="0.25"/>
    <row r="73" ht="13.8" x14ac:dyDescent="0.25"/>
    <row r="74" ht="13.8" x14ac:dyDescent="0.25"/>
    <row r="75" ht="13.8" x14ac:dyDescent="0.25"/>
    <row r="76" ht="13.8" x14ac:dyDescent="0.25"/>
    <row r="77" ht="13.8" x14ac:dyDescent="0.25"/>
    <row r="78" ht="13.8" x14ac:dyDescent="0.25"/>
    <row r="79" ht="13.8" x14ac:dyDescent="0.25"/>
    <row r="80" ht="13.8" x14ac:dyDescent="0.25"/>
    <row r="81" spans="1:18" ht="13.8" x14ac:dyDescent="0.25"/>
    <row r="82" spans="1:18" ht="13.8" x14ac:dyDescent="0.25"/>
    <row r="83" spans="1:18" ht="13.8" x14ac:dyDescent="0.25"/>
    <row r="84" spans="1:18" ht="13.8" x14ac:dyDescent="0.25"/>
    <row r="85" spans="1:18" ht="13.8" x14ac:dyDescent="0.25"/>
    <row r="86" spans="1:18" ht="13.8" x14ac:dyDescent="0.25"/>
    <row r="87" spans="1:18" ht="13.8" x14ac:dyDescent="0.25"/>
    <row r="88" spans="1:18" ht="13.8" x14ac:dyDescent="0.25"/>
    <row r="89" spans="1:18" ht="13.8" x14ac:dyDescent="0.25">
      <c r="A89" s="3"/>
      <c r="B89" s="3"/>
      <c r="C89" s="3"/>
    </row>
    <row r="90" spans="1:18" ht="13.8" x14ac:dyDescent="0.25"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1:18" ht="13.8" x14ac:dyDescent="0.25"/>
    <row r="92" spans="1:18" ht="13.8" x14ac:dyDescent="0.25"/>
    <row r="93" spans="1:18" ht="13.8" x14ac:dyDescent="0.25">
      <c r="A93" s="3"/>
      <c r="B93" s="3"/>
      <c r="C93" s="3"/>
    </row>
    <row r="94" spans="1:18" ht="1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 ht="13.8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1:18" ht="13.8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1:18" ht="13.8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1:18" ht="13.8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 ht="13.8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1:18" ht="13.8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8" ht="1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1:18" ht="13.8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1:18" ht="13.8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1:18" ht="13.8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1:18" ht="13.8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1:18" ht="13.8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1:18" ht="13.8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1:18" ht="13.8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1:18" ht="13.8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1:18" ht="13.8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1:18" ht="13.8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1:18" ht="13.8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1:18" ht="13.8" x14ac:dyDescent="0.25"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1:18" ht="13.8" x14ac:dyDescent="0.25"/>
    <row r="115" spans="1:18" ht="13.8" x14ac:dyDescent="0.25">
      <c r="A115" s="3"/>
      <c r="B115" s="3"/>
      <c r="C115" s="3"/>
    </row>
    <row r="116" spans="1:18" ht="1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1:18" ht="1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1:18" ht="13.8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8" ht="15" customHeight="1" x14ac:dyDescent="0.25"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1:18" ht="13.8" x14ac:dyDescent="0.25">
      <c r="A120" s="4"/>
      <c r="B120" s="4"/>
      <c r="C120" s="4"/>
    </row>
    <row r="121" spans="1:18" ht="13.8" x14ac:dyDescent="0.25"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spans="1:18" ht="13.8" x14ac:dyDescent="0.25">
      <c r="A122" s="4"/>
      <c r="B122" s="4"/>
      <c r="C122" s="4"/>
    </row>
    <row r="123" spans="1:18" ht="13.8" x14ac:dyDescent="0.25"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spans="1:18" ht="13.8" x14ac:dyDescent="0.25">
      <c r="A124" s="4"/>
      <c r="B124" s="4"/>
      <c r="C124" s="4"/>
    </row>
    <row r="125" spans="1:18" ht="1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spans="1:18" ht="13.8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spans="1:18" ht="13.8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spans="1:18" ht="13.8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spans="1:18" ht="13.8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spans="1:18" ht="13.8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spans="1:18" ht="13.8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spans="1:18" ht="13.8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spans="1:18" ht="13.8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spans="1:18" ht="13.8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spans="1:18" ht="13.8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spans="1:18" ht="13.8" x14ac:dyDescent="0.25"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spans="1:18" ht="13.8" x14ac:dyDescent="0.25"/>
    <row r="138" spans="1:18" ht="13.8" x14ac:dyDescent="0.25"/>
    <row r="139" spans="1:18" ht="13.8" x14ac:dyDescent="0.25"/>
    <row r="140" spans="1:18" ht="13.8" x14ac:dyDescent="0.25"/>
    <row r="141" spans="1:18" ht="13.8" x14ac:dyDescent="0.25"/>
    <row r="142" spans="1:18" ht="13.8" x14ac:dyDescent="0.25"/>
    <row r="143" spans="1:18" ht="13.8" x14ac:dyDescent="0.25"/>
    <row r="144" spans="1:18" ht="13.8" x14ac:dyDescent="0.25"/>
    <row r="145" spans="1:18" ht="13.8" x14ac:dyDescent="0.25"/>
    <row r="146" spans="1:18" ht="13.8" x14ac:dyDescent="0.25"/>
    <row r="147" spans="1:18" ht="13.8" x14ac:dyDescent="0.25">
      <c r="A147" s="3"/>
      <c r="B147" s="3"/>
      <c r="C147" s="3"/>
    </row>
    <row r="148" spans="1:18" ht="13.8" x14ac:dyDescent="0.25"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ht="13.8" x14ac:dyDescent="0.25"/>
    <row r="150" spans="1:18" ht="13.8" x14ac:dyDescent="0.25"/>
    <row r="151" spans="1:18" ht="13.8" x14ac:dyDescent="0.25"/>
    <row r="152" spans="1:18" ht="13.8" x14ac:dyDescent="0.25"/>
    <row r="153" spans="1:18" ht="13.8" x14ac:dyDescent="0.25"/>
    <row r="154" spans="1:18" ht="13.8" x14ac:dyDescent="0.25"/>
    <row r="155" spans="1:18" ht="13.8" x14ac:dyDescent="0.25"/>
    <row r="156" spans="1:18" ht="13.8" x14ac:dyDescent="0.25"/>
    <row r="157" spans="1:18" ht="13.8" x14ac:dyDescent="0.25"/>
    <row r="158" spans="1:18" ht="13.8" x14ac:dyDescent="0.25"/>
    <row r="159" spans="1:18" ht="13.8" x14ac:dyDescent="0.25">
      <c r="A159" s="5"/>
      <c r="B159" s="5"/>
      <c r="C159" s="5"/>
    </row>
    <row r="160" spans="1:18" ht="13.8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spans="1:18" ht="13.8" x14ac:dyDescent="0.25"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spans="1:18" ht="13.8" x14ac:dyDescent="0.25"/>
    <row r="163" spans="1:18" ht="13.8" x14ac:dyDescent="0.25">
      <c r="A163" s="4"/>
      <c r="B163" s="4"/>
      <c r="C163" s="4"/>
    </row>
    <row r="164" spans="1:18" ht="13.8" x14ac:dyDescent="0.25"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1:18" ht="13.8" x14ac:dyDescent="0.25"/>
    <row r="166" spans="1:18" ht="13.8" x14ac:dyDescent="0.25"/>
    <row r="167" spans="1:18" ht="13.8" x14ac:dyDescent="0.25">
      <c r="A167" s="4"/>
      <c r="B167" s="4"/>
      <c r="C167" s="4"/>
    </row>
    <row r="168" spans="1:18" ht="13.8" x14ac:dyDescent="0.25"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spans="1:18" ht="13.8" x14ac:dyDescent="0.25"/>
    <row r="170" spans="1:18" ht="13.8" x14ac:dyDescent="0.25">
      <c r="E170" s="1"/>
    </row>
    <row r="171" spans="1:18" ht="13.8" x14ac:dyDescent="0.25">
      <c r="E171" s="1"/>
    </row>
    <row r="172" spans="1:18" ht="13.8" x14ac:dyDescent="0.25">
      <c r="E172" s="1"/>
    </row>
    <row r="173" spans="1:18" ht="13.8" x14ac:dyDescent="0.25">
      <c r="E173" s="1"/>
    </row>
    <row r="174" spans="1:18" ht="13.8" x14ac:dyDescent="0.25">
      <c r="E174" s="1"/>
    </row>
    <row r="175" spans="1:18" ht="13.8" x14ac:dyDescent="0.25">
      <c r="E175" s="1"/>
    </row>
    <row r="176" spans="1:18" ht="13.8" x14ac:dyDescent="0.25">
      <c r="E176" s="1"/>
    </row>
    <row r="177" spans="5:5" ht="13.8" x14ac:dyDescent="0.25">
      <c r="E177" s="1"/>
    </row>
    <row r="178" spans="5:5" ht="13.8" x14ac:dyDescent="0.25">
      <c r="E178" s="1"/>
    </row>
    <row r="179" spans="5:5" ht="13.8" x14ac:dyDescent="0.25">
      <c r="E179" s="1"/>
    </row>
    <row r="180" spans="5:5" ht="13.8" x14ac:dyDescent="0.25">
      <c r="E180" s="1"/>
    </row>
    <row r="181" spans="5:5" ht="13.8" x14ac:dyDescent="0.25">
      <c r="E181" s="1"/>
    </row>
    <row r="182" spans="5:5" ht="13.8" x14ac:dyDescent="0.25">
      <c r="E182" s="1"/>
    </row>
    <row r="183" spans="5:5" ht="13.8" x14ac:dyDescent="0.25">
      <c r="E183" s="1"/>
    </row>
    <row r="184" spans="5:5" ht="13.8" x14ac:dyDescent="0.25">
      <c r="E184" s="1"/>
    </row>
    <row r="185" spans="5:5" ht="13.8" x14ac:dyDescent="0.25">
      <c r="E185" s="1"/>
    </row>
    <row r="186" spans="5:5" ht="13.8" x14ac:dyDescent="0.25">
      <c r="E186" s="1"/>
    </row>
    <row r="187" spans="5:5" ht="13.8" x14ac:dyDescent="0.25">
      <c r="E187" s="1"/>
    </row>
    <row r="188" spans="5:5" ht="13.8" x14ac:dyDescent="0.25">
      <c r="E188" s="1"/>
    </row>
    <row r="189" spans="5:5" ht="13.8" x14ac:dyDescent="0.25">
      <c r="E189" s="1"/>
    </row>
    <row r="190" spans="5:5" ht="13.8" x14ac:dyDescent="0.25">
      <c r="E190" s="1"/>
    </row>
    <row r="191" spans="5:5" ht="13.8" x14ac:dyDescent="0.25">
      <c r="E191" s="1"/>
    </row>
    <row r="192" spans="5:5" ht="13.8" x14ac:dyDescent="0.25">
      <c r="E192" s="1"/>
    </row>
    <row r="193" spans="5:5" ht="13.8" x14ac:dyDescent="0.25">
      <c r="E193" s="1"/>
    </row>
    <row r="194" spans="5:5" ht="13.8" x14ac:dyDescent="0.25">
      <c r="E194" s="1"/>
    </row>
    <row r="195" spans="5:5" ht="13.8" x14ac:dyDescent="0.25">
      <c r="E195" s="1"/>
    </row>
    <row r="196" spans="5:5" ht="13.8" x14ac:dyDescent="0.25">
      <c r="E196" s="1"/>
    </row>
    <row r="197" spans="5:5" ht="13.8" x14ac:dyDescent="0.25">
      <c r="E197" s="1"/>
    </row>
    <row r="198" spans="5:5" ht="13.8" x14ac:dyDescent="0.25">
      <c r="E198" s="1"/>
    </row>
    <row r="199" spans="5:5" ht="13.8" x14ac:dyDescent="0.25">
      <c r="E199" s="1"/>
    </row>
    <row r="200" spans="5:5" ht="13.8" x14ac:dyDescent="0.25">
      <c r="E200" s="1"/>
    </row>
    <row r="201" spans="5:5" ht="13.8" x14ac:dyDescent="0.25">
      <c r="E201" s="1"/>
    </row>
    <row r="202" spans="5:5" ht="13.8" x14ac:dyDescent="0.25">
      <c r="E202" s="1"/>
    </row>
    <row r="203" spans="5:5" ht="13.8" x14ac:dyDescent="0.25">
      <c r="E203" s="1"/>
    </row>
    <row r="204" spans="5:5" ht="13.8" x14ac:dyDescent="0.25">
      <c r="E204" s="1"/>
    </row>
    <row r="205" spans="5:5" ht="13.8" x14ac:dyDescent="0.25">
      <c r="E205" s="1"/>
    </row>
    <row r="206" spans="5:5" ht="13.8" x14ac:dyDescent="0.25">
      <c r="E206" s="1"/>
    </row>
    <row r="207" spans="5:5" ht="13.8" x14ac:dyDescent="0.25">
      <c r="E207" s="1"/>
    </row>
    <row r="208" spans="5:5" ht="13.8" x14ac:dyDescent="0.25">
      <c r="E208" s="1"/>
    </row>
    <row r="209" spans="5:5" ht="13.8" x14ac:dyDescent="0.25">
      <c r="E209" s="1"/>
    </row>
    <row r="210" spans="5:5" ht="13.8" x14ac:dyDescent="0.25">
      <c r="E210" s="1"/>
    </row>
    <row r="211" spans="5:5" ht="13.8" x14ac:dyDescent="0.25">
      <c r="E211" s="1"/>
    </row>
    <row r="212" spans="5:5" ht="13.8" x14ac:dyDescent="0.25">
      <c r="E212" s="1"/>
    </row>
    <row r="213" spans="5:5" ht="13.8" x14ac:dyDescent="0.25">
      <c r="E213" s="1"/>
    </row>
    <row r="214" spans="5:5" ht="13.8" x14ac:dyDescent="0.25">
      <c r="E214" s="1"/>
    </row>
    <row r="215" spans="5:5" ht="13.8" x14ac:dyDescent="0.25">
      <c r="E215" s="1"/>
    </row>
    <row r="216" spans="5:5" ht="13.8" x14ac:dyDescent="0.25">
      <c r="E216" s="1"/>
    </row>
    <row r="217" spans="5:5" ht="13.8" x14ac:dyDescent="0.25">
      <c r="E217" s="1"/>
    </row>
    <row r="218" spans="5:5" ht="13.8" x14ac:dyDescent="0.25">
      <c r="E218" s="1"/>
    </row>
    <row r="219" spans="5:5" ht="13.8" x14ac:dyDescent="0.25">
      <c r="E219" s="1"/>
    </row>
    <row r="220" spans="5:5" ht="13.8" x14ac:dyDescent="0.25">
      <c r="E220" s="1"/>
    </row>
    <row r="221" spans="5:5" ht="13.8" x14ac:dyDescent="0.25">
      <c r="E221" s="1"/>
    </row>
    <row r="222" spans="5:5" ht="13.8" x14ac:dyDescent="0.25">
      <c r="E222" s="1"/>
    </row>
    <row r="223" spans="5:5" ht="13.8" x14ac:dyDescent="0.25">
      <c r="E223" s="1"/>
    </row>
    <row r="224" spans="5:5" ht="13.8" x14ac:dyDescent="0.25">
      <c r="E224" s="1"/>
    </row>
    <row r="225" spans="5:5" ht="13.8" x14ac:dyDescent="0.25">
      <c r="E225" s="1"/>
    </row>
    <row r="226" spans="5:5" ht="13.8" x14ac:dyDescent="0.25">
      <c r="E226" s="1"/>
    </row>
    <row r="227" spans="5:5" ht="13.8" x14ac:dyDescent="0.25">
      <c r="E227" s="1"/>
    </row>
    <row r="228" spans="5:5" ht="13.8" x14ac:dyDescent="0.25">
      <c r="E228" s="1"/>
    </row>
    <row r="229" spans="5:5" ht="13.8" x14ac:dyDescent="0.25">
      <c r="E229" s="1"/>
    </row>
    <row r="230" spans="5:5" ht="13.8" x14ac:dyDescent="0.25">
      <c r="E230" s="1"/>
    </row>
    <row r="231" spans="5:5" ht="13.8" x14ac:dyDescent="0.25">
      <c r="E231" s="1"/>
    </row>
    <row r="232" spans="5:5" ht="13.8" x14ac:dyDescent="0.25">
      <c r="E232" s="1"/>
    </row>
    <row r="233" spans="5:5" ht="13.8" x14ac:dyDescent="0.25">
      <c r="E233" s="1"/>
    </row>
    <row r="234" spans="5:5" ht="13.8" x14ac:dyDescent="0.25">
      <c r="E234" s="1"/>
    </row>
    <row r="235" spans="5:5" ht="13.8" x14ac:dyDescent="0.25">
      <c r="E235" s="1"/>
    </row>
    <row r="236" spans="5:5" ht="13.8" x14ac:dyDescent="0.25">
      <c r="E236" s="1"/>
    </row>
    <row r="237" spans="5:5" ht="13.8" x14ac:dyDescent="0.25">
      <c r="E237" s="1"/>
    </row>
    <row r="238" spans="5:5" ht="13.8" x14ac:dyDescent="0.25">
      <c r="E238" s="1"/>
    </row>
    <row r="239" spans="5:5" ht="13.8" x14ac:dyDescent="0.25">
      <c r="E239" s="1"/>
    </row>
    <row r="240" spans="5:5" ht="13.8" x14ac:dyDescent="0.25">
      <c r="E240" s="1"/>
    </row>
    <row r="241" spans="5:5" ht="13.8" x14ac:dyDescent="0.25">
      <c r="E241" s="1"/>
    </row>
    <row r="242" spans="5:5" ht="13.8" x14ac:dyDescent="0.25">
      <c r="E242" s="1"/>
    </row>
    <row r="243" spans="5:5" ht="13.8" x14ac:dyDescent="0.25">
      <c r="E243" s="1"/>
    </row>
    <row r="244" spans="5:5" ht="13.8" x14ac:dyDescent="0.25">
      <c r="E244" s="1"/>
    </row>
    <row r="245" spans="5:5" ht="13.8" x14ac:dyDescent="0.25">
      <c r="E245" s="1"/>
    </row>
    <row r="246" spans="5:5" ht="13.8" x14ac:dyDescent="0.25">
      <c r="E246" s="1"/>
    </row>
    <row r="247" spans="5:5" ht="13.8" x14ac:dyDescent="0.25">
      <c r="E247" s="1"/>
    </row>
    <row r="248" spans="5:5" ht="13.8" x14ac:dyDescent="0.25">
      <c r="E248" s="1"/>
    </row>
    <row r="249" spans="5:5" ht="13.8" x14ac:dyDescent="0.25">
      <c r="E249" s="1"/>
    </row>
    <row r="250" spans="5:5" ht="13.8" x14ac:dyDescent="0.25">
      <c r="E250" s="1"/>
    </row>
    <row r="251" spans="5:5" ht="13.8" x14ac:dyDescent="0.25">
      <c r="E251" s="1"/>
    </row>
    <row r="252" spans="5:5" ht="13.8" x14ac:dyDescent="0.25">
      <c r="E252" s="1"/>
    </row>
    <row r="253" spans="5:5" ht="13.8" x14ac:dyDescent="0.25">
      <c r="E253" s="1"/>
    </row>
    <row r="254" spans="5:5" ht="13.8" x14ac:dyDescent="0.25">
      <c r="E254" s="1"/>
    </row>
    <row r="255" spans="5:5" ht="13.8" x14ac:dyDescent="0.25">
      <c r="E255" s="1"/>
    </row>
    <row r="256" spans="5:5" ht="13.8" x14ac:dyDescent="0.25">
      <c r="E256" s="1"/>
    </row>
    <row r="257" spans="5:5" ht="13.8" x14ac:dyDescent="0.25">
      <c r="E257" s="1"/>
    </row>
    <row r="258" spans="5:5" ht="13.8" x14ac:dyDescent="0.25">
      <c r="E258" s="1"/>
    </row>
    <row r="259" spans="5:5" ht="13.8" x14ac:dyDescent="0.25">
      <c r="E259" s="1"/>
    </row>
    <row r="260" spans="5:5" ht="13.8" x14ac:dyDescent="0.25">
      <c r="E260" s="1"/>
    </row>
    <row r="261" spans="5:5" ht="13.8" x14ac:dyDescent="0.25">
      <c r="E261" s="1"/>
    </row>
    <row r="262" spans="5:5" ht="13.8" x14ac:dyDescent="0.25">
      <c r="E262" s="1"/>
    </row>
    <row r="263" spans="5:5" ht="13.8" x14ac:dyDescent="0.25">
      <c r="E263" s="1"/>
    </row>
    <row r="264" spans="5:5" ht="13.8" x14ac:dyDescent="0.25">
      <c r="E264" s="1"/>
    </row>
    <row r="265" spans="5:5" ht="13.8" x14ac:dyDescent="0.25">
      <c r="E265" s="1"/>
    </row>
    <row r="266" spans="5:5" ht="13.8" x14ac:dyDescent="0.25">
      <c r="E266" s="1"/>
    </row>
    <row r="267" spans="5:5" ht="13.8" x14ac:dyDescent="0.25">
      <c r="E267" s="1"/>
    </row>
    <row r="268" spans="5:5" ht="13.8" x14ac:dyDescent="0.25">
      <c r="E268" s="1"/>
    </row>
    <row r="269" spans="5:5" ht="13.8" x14ac:dyDescent="0.25">
      <c r="E269" s="1"/>
    </row>
    <row r="270" spans="5:5" ht="13.8" x14ac:dyDescent="0.25">
      <c r="E270" s="1"/>
    </row>
    <row r="271" spans="5:5" ht="13.8" x14ac:dyDescent="0.25">
      <c r="E271" s="1"/>
    </row>
    <row r="272" spans="5:5" ht="13.8" x14ac:dyDescent="0.25">
      <c r="E272" s="1"/>
    </row>
    <row r="273" spans="5:5" ht="13.8" x14ac:dyDescent="0.25">
      <c r="E273" s="1"/>
    </row>
    <row r="274" spans="5:5" ht="13.8" x14ac:dyDescent="0.25">
      <c r="E274" s="1"/>
    </row>
    <row r="275" spans="5:5" ht="13.8" x14ac:dyDescent="0.25">
      <c r="E275" s="1"/>
    </row>
    <row r="276" spans="5:5" ht="13.8" x14ac:dyDescent="0.25">
      <c r="E276" s="1"/>
    </row>
    <row r="277" spans="5:5" ht="13.8" x14ac:dyDescent="0.25">
      <c r="E277" s="1"/>
    </row>
    <row r="278" spans="5:5" ht="13.8" x14ac:dyDescent="0.25">
      <c r="E278" s="1"/>
    </row>
    <row r="279" spans="5:5" ht="13.8" x14ac:dyDescent="0.25">
      <c r="E279" s="1"/>
    </row>
    <row r="280" spans="5:5" ht="13.8" x14ac:dyDescent="0.25">
      <c r="E280" s="1"/>
    </row>
    <row r="281" spans="5:5" ht="13.8" x14ac:dyDescent="0.25">
      <c r="E281" s="1"/>
    </row>
    <row r="282" spans="5:5" ht="13.8" x14ac:dyDescent="0.25">
      <c r="E282" s="1"/>
    </row>
    <row r="283" spans="5:5" ht="13.8" x14ac:dyDescent="0.25">
      <c r="E283" s="1"/>
    </row>
    <row r="284" spans="5:5" ht="13.8" x14ac:dyDescent="0.25">
      <c r="E284" s="1"/>
    </row>
    <row r="285" spans="5:5" ht="13.8" x14ac:dyDescent="0.25">
      <c r="E285" s="1"/>
    </row>
    <row r="286" spans="5:5" ht="13.8" x14ac:dyDescent="0.25">
      <c r="E286" s="1"/>
    </row>
    <row r="287" spans="5:5" ht="13.8" x14ac:dyDescent="0.25">
      <c r="E287" s="1"/>
    </row>
    <row r="288" spans="5:5" ht="13.8" x14ac:dyDescent="0.25">
      <c r="E288" s="1"/>
    </row>
    <row r="289" spans="5:5" ht="13.8" x14ac:dyDescent="0.25">
      <c r="E289" s="1"/>
    </row>
    <row r="290" spans="5:5" ht="13.8" x14ac:dyDescent="0.25">
      <c r="E290" s="1"/>
    </row>
    <row r="291" spans="5:5" ht="13.8" x14ac:dyDescent="0.25">
      <c r="E291" s="1"/>
    </row>
    <row r="292" spans="5:5" ht="13.8" x14ac:dyDescent="0.25">
      <c r="E292" s="1"/>
    </row>
    <row r="293" spans="5:5" ht="13.8" x14ac:dyDescent="0.25">
      <c r="E293" s="1"/>
    </row>
    <row r="294" spans="5:5" ht="13.8" x14ac:dyDescent="0.25">
      <c r="E294" s="1"/>
    </row>
    <row r="295" spans="5:5" ht="13.8" x14ac:dyDescent="0.25">
      <c r="E295" s="1"/>
    </row>
    <row r="296" spans="5:5" ht="13.8" x14ac:dyDescent="0.25">
      <c r="E296" s="1"/>
    </row>
    <row r="297" spans="5:5" ht="13.8" x14ac:dyDescent="0.25">
      <c r="E297" s="1"/>
    </row>
    <row r="298" spans="5:5" ht="13.8" x14ac:dyDescent="0.25">
      <c r="E298" s="1"/>
    </row>
    <row r="299" spans="5:5" ht="13.8" x14ac:dyDescent="0.25">
      <c r="E299" s="1"/>
    </row>
    <row r="300" spans="5:5" ht="13.8" x14ac:dyDescent="0.25">
      <c r="E300" s="1"/>
    </row>
    <row r="301" spans="5:5" ht="13.8" x14ac:dyDescent="0.25">
      <c r="E301" s="1"/>
    </row>
    <row r="302" spans="5:5" ht="13.8" x14ac:dyDescent="0.25">
      <c r="E302" s="1"/>
    </row>
    <row r="303" spans="5:5" ht="13.8" x14ac:dyDescent="0.25">
      <c r="E303" s="1"/>
    </row>
    <row r="304" spans="5:5" ht="13.8" x14ac:dyDescent="0.25">
      <c r="E304" s="1"/>
    </row>
    <row r="305" spans="5:5" ht="13.8" x14ac:dyDescent="0.25">
      <c r="E305" s="1"/>
    </row>
    <row r="306" spans="5:5" ht="13.8" x14ac:dyDescent="0.25">
      <c r="E306" s="1"/>
    </row>
    <row r="307" spans="5:5" ht="13.8" x14ac:dyDescent="0.25">
      <c r="E307" s="1"/>
    </row>
    <row r="308" spans="5:5" ht="13.8" x14ac:dyDescent="0.25">
      <c r="E308" s="1"/>
    </row>
    <row r="309" spans="5:5" ht="13.8" x14ac:dyDescent="0.25">
      <c r="E309" s="1"/>
    </row>
    <row r="310" spans="5:5" ht="13.8" x14ac:dyDescent="0.25">
      <c r="E310" s="1"/>
    </row>
    <row r="311" spans="5:5" ht="13.8" x14ac:dyDescent="0.25">
      <c r="E311" s="1"/>
    </row>
    <row r="312" spans="5:5" ht="13.8" x14ac:dyDescent="0.25">
      <c r="E312" s="1"/>
    </row>
    <row r="313" spans="5:5" ht="13.8" x14ac:dyDescent="0.25">
      <c r="E313" s="1"/>
    </row>
    <row r="314" spans="5:5" ht="13.8" x14ac:dyDescent="0.25">
      <c r="E314" s="1"/>
    </row>
    <row r="315" spans="5:5" ht="13.8" x14ac:dyDescent="0.25">
      <c r="E315" s="1"/>
    </row>
    <row r="316" spans="5:5" ht="13.8" x14ac:dyDescent="0.25">
      <c r="E316" s="1"/>
    </row>
    <row r="317" spans="5:5" ht="13.8" x14ac:dyDescent="0.25">
      <c r="E317" s="1"/>
    </row>
    <row r="318" spans="5:5" ht="13.8" x14ac:dyDescent="0.25">
      <c r="E318" s="1"/>
    </row>
    <row r="319" spans="5:5" ht="13.8" x14ac:dyDescent="0.25">
      <c r="E319" s="1"/>
    </row>
    <row r="320" spans="5:5" ht="13.8" x14ac:dyDescent="0.25">
      <c r="E320" s="1"/>
    </row>
    <row r="321" spans="5:5" ht="13.8" x14ac:dyDescent="0.25">
      <c r="E321" s="1"/>
    </row>
    <row r="322" spans="5:5" ht="13.8" x14ac:dyDescent="0.25">
      <c r="E322" s="1"/>
    </row>
    <row r="323" spans="5:5" ht="13.8" x14ac:dyDescent="0.25">
      <c r="E323" s="1"/>
    </row>
    <row r="324" spans="5:5" ht="13.8" x14ac:dyDescent="0.25">
      <c r="E324" s="1"/>
    </row>
    <row r="325" spans="5:5" ht="13.8" x14ac:dyDescent="0.25">
      <c r="E325" s="1"/>
    </row>
    <row r="326" spans="5:5" ht="13.8" x14ac:dyDescent="0.25">
      <c r="E326" s="1"/>
    </row>
    <row r="327" spans="5:5" ht="13.8" x14ac:dyDescent="0.25">
      <c r="E327" s="1"/>
    </row>
    <row r="328" spans="5:5" ht="13.8" x14ac:dyDescent="0.25">
      <c r="E328" s="1"/>
    </row>
    <row r="329" spans="5:5" ht="13.8" x14ac:dyDescent="0.25">
      <c r="E329" s="1"/>
    </row>
    <row r="330" spans="5:5" ht="13.8" x14ac:dyDescent="0.25">
      <c r="E330" s="1"/>
    </row>
    <row r="331" spans="5:5" ht="13.8" x14ac:dyDescent="0.25">
      <c r="E331" s="1"/>
    </row>
    <row r="332" spans="5:5" ht="13.8" x14ac:dyDescent="0.25">
      <c r="E332" s="1"/>
    </row>
    <row r="333" spans="5:5" ht="13.8" x14ac:dyDescent="0.25">
      <c r="E333" s="1"/>
    </row>
    <row r="334" spans="5:5" ht="13.8" x14ac:dyDescent="0.25">
      <c r="E334" s="1"/>
    </row>
    <row r="335" spans="5:5" ht="13.8" x14ac:dyDescent="0.25">
      <c r="E335" s="1"/>
    </row>
    <row r="336" spans="5:5" ht="13.8" x14ac:dyDescent="0.25">
      <c r="E336" s="1"/>
    </row>
    <row r="337" spans="5:5" ht="13.8" x14ac:dyDescent="0.25">
      <c r="E337" s="1"/>
    </row>
    <row r="338" spans="5:5" ht="13.8" x14ac:dyDescent="0.25">
      <c r="E338" s="1"/>
    </row>
    <row r="339" spans="5:5" ht="13.8" x14ac:dyDescent="0.25">
      <c r="E339" s="1"/>
    </row>
    <row r="340" spans="5:5" ht="13.8" x14ac:dyDescent="0.25">
      <c r="E340" s="1"/>
    </row>
    <row r="341" spans="5:5" ht="13.8" x14ac:dyDescent="0.25">
      <c r="E341" s="1"/>
    </row>
    <row r="342" spans="5:5" ht="13.8" x14ac:dyDescent="0.25">
      <c r="E342" s="1"/>
    </row>
    <row r="343" spans="5:5" ht="13.8" x14ac:dyDescent="0.25">
      <c r="E343" s="1"/>
    </row>
    <row r="344" spans="5:5" ht="13.8" x14ac:dyDescent="0.25">
      <c r="E344" s="1"/>
    </row>
    <row r="345" spans="5:5" ht="13.8" x14ac:dyDescent="0.25">
      <c r="E345" s="1"/>
    </row>
    <row r="346" spans="5:5" ht="13.8" x14ac:dyDescent="0.25">
      <c r="E346" s="1"/>
    </row>
    <row r="347" spans="5:5" ht="13.8" x14ac:dyDescent="0.25">
      <c r="E347" s="1"/>
    </row>
    <row r="348" spans="5:5" ht="13.8" x14ac:dyDescent="0.25">
      <c r="E348" s="1"/>
    </row>
    <row r="349" spans="5:5" ht="13.8" x14ac:dyDescent="0.25">
      <c r="E349" s="1"/>
    </row>
    <row r="350" spans="5:5" ht="13.8" x14ac:dyDescent="0.25">
      <c r="E350" s="1"/>
    </row>
    <row r="351" spans="5:5" ht="13.8" x14ac:dyDescent="0.25">
      <c r="E351" s="1"/>
    </row>
    <row r="352" spans="5:5" ht="13.8" x14ac:dyDescent="0.25">
      <c r="E352" s="1"/>
    </row>
    <row r="353" spans="5:5" ht="13.8" x14ac:dyDescent="0.25">
      <c r="E353" s="1"/>
    </row>
    <row r="354" spans="5:5" ht="13.8" x14ac:dyDescent="0.25">
      <c r="E354" s="1"/>
    </row>
    <row r="355" spans="5:5" ht="13.8" x14ac:dyDescent="0.25">
      <c r="E355" s="1"/>
    </row>
    <row r="356" spans="5:5" ht="13.8" x14ac:dyDescent="0.25">
      <c r="E356" s="1"/>
    </row>
    <row r="357" spans="5:5" ht="13.8" x14ac:dyDescent="0.25">
      <c r="E357" s="1"/>
    </row>
    <row r="358" spans="5:5" ht="13.8" x14ac:dyDescent="0.25">
      <c r="E358" s="1"/>
    </row>
    <row r="359" spans="5:5" ht="13.8" x14ac:dyDescent="0.25">
      <c r="E359" s="1"/>
    </row>
    <row r="360" spans="5:5" ht="13.8" x14ac:dyDescent="0.25">
      <c r="E360" s="1"/>
    </row>
    <row r="361" spans="5:5" ht="13.8" x14ac:dyDescent="0.25">
      <c r="E361" s="1"/>
    </row>
    <row r="362" spans="5:5" ht="13.8" x14ac:dyDescent="0.25">
      <c r="E362" s="1"/>
    </row>
    <row r="363" spans="5:5" ht="13.8" x14ac:dyDescent="0.25">
      <c r="E363" s="1"/>
    </row>
    <row r="364" spans="5:5" ht="13.8" x14ac:dyDescent="0.25">
      <c r="E364" s="1"/>
    </row>
    <row r="365" spans="5:5" ht="13.8" x14ac:dyDescent="0.25">
      <c r="E365" s="1"/>
    </row>
    <row r="366" spans="5:5" ht="13.8" x14ac:dyDescent="0.25">
      <c r="E366" s="1"/>
    </row>
    <row r="367" spans="5:5" ht="13.8" x14ac:dyDescent="0.25">
      <c r="E367" s="1"/>
    </row>
    <row r="368" spans="5:5" ht="13.8" x14ac:dyDescent="0.25">
      <c r="E368" s="1"/>
    </row>
    <row r="369" spans="5:5" ht="13.8" x14ac:dyDescent="0.25">
      <c r="E369" s="1"/>
    </row>
    <row r="370" spans="5:5" ht="13.8" x14ac:dyDescent="0.25">
      <c r="E370" s="1"/>
    </row>
    <row r="371" spans="5:5" ht="13.8" x14ac:dyDescent="0.25">
      <c r="E371" s="1"/>
    </row>
    <row r="372" spans="5:5" ht="13.8" x14ac:dyDescent="0.25">
      <c r="E372" s="1"/>
    </row>
    <row r="373" spans="5:5" ht="13.8" x14ac:dyDescent="0.25">
      <c r="E373" s="1"/>
    </row>
    <row r="374" spans="5:5" ht="13.8" x14ac:dyDescent="0.25">
      <c r="E374" s="1"/>
    </row>
    <row r="375" spans="5:5" ht="13.8" x14ac:dyDescent="0.25">
      <c r="E375" s="1"/>
    </row>
    <row r="376" spans="5:5" ht="13.8" x14ac:dyDescent="0.25">
      <c r="E376" s="1"/>
    </row>
    <row r="377" spans="5:5" ht="13.8" x14ac:dyDescent="0.25">
      <c r="E377" s="1"/>
    </row>
    <row r="378" spans="5:5" ht="13.8" x14ac:dyDescent="0.25">
      <c r="E378" s="1"/>
    </row>
    <row r="379" spans="5:5" ht="13.8" x14ac:dyDescent="0.25">
      <c r="E379" s="1"/>
    </row>
    <row r="380" spans="5:5" ht="13.8" x14ac:dyDescent="0.25">
      <c r="E380" s="1"/>
    </row>
    <row r="381" spans="5:5" ht="13.8" x14ac:dyDescent="0.25">
      <c r="E381" s="1"/>
    </row>
    <row r="382" spans="5:5" ht="13.8" x14ac:dyDescent="0.25">
      <c r="E382" s="1"/>
    </row>
    <row r="383" spans="5:5" ht="13.8" x14ac:dyDescent="0.25">
      <c r="E383" s="1"/>
    </row>
    <row r="384" spans="5:5" ht="13.8" x14ac:dyDescent="0.25">
      <c r="E384" s="1"/>
    </row>
    <row r="385" spans="5:5" ht="13.8" x14ac:dyDescent="0.25">
      <c r="E385" s="1"/>
    </row>
    <row r="386" spans="5:5" ht="13.8" x14ac:dyDescent="0.25">
      <c r="E386" s="1"/>
    </row>
    <row r="387" spans="5:5" ht="13.8" x14ac:dyDescent="0.25">
      <c r="E387" s="1"/>
    </row>
    <row r="388" spans="5:5" ht="13.8" x14ac:dyDescent="0.25">
      <c r="E388" s="1"/>
    </row>
    <row r="389" spans="5:5" ht="13.8" x14ac:dyDescent="0.25">
      <c r="E389" s="1"/>
    </row>
    <row r="390" spans="5:5" ht="13.8" x14ac:dyDescent="0.25">
      <c r="E390" s="1"/>
    </row>
    <row r="391" spans="5:5" ht="13.8" x14ac:dyDescent="0.25">
      <c r="E391" s="1"/>
    </row>
    <row r="392" spans="5:5" ht="13.8" x14ac:dyDescent="0.25">
      <c r="E392" s="1"/>
    </row>
    <row r="393" spans="5:5" ht="13.8" x14ac:dyDescent="0.25">
      <c r="E393" s="1"/>
    </row>
    <row r="394" spans="5:5" ht="13.8" x14ac:dyDescent="0.25">
      <c r="E394" s="1"/>
    </row>
    <row r="395" spans="5:5" ht="13.8" x14ac:dyDescent="0.25">
      <c r="E395" s="1"/>
    </row>
    <row r="396" spans="5:5" ht="13.8" x14ac:dyDescent="0.25">
      <c r="E396" s="1"/>
    </row>
    <row r="397" spans="5:5" ht="13.8" x14ac:dyDescent="0.25">
      <c r="E397" s="1"/>
    </row>
    <row r="398" spans="5:5" ht="13.8" x14ac:dyDescent="0.25">
      <c r="E398" s="1"/>
    </row>
    <row r="399" spans="5:5" ht="13.8" x14ac:dyDescent="0.25">
      <c r="E399" s="1"/>
    </row>
    <row r="400" spans="5:5" ht="13.8" x14ac:dyDescent="0.25">
      <c r="E400" s="1"/>
    </row>
    <row r="401" spans="5:5" ht="13.8" x14ac:dyDescent="0.25">
      <c r="E401" s="1"/>
    </row>
    <row r="402" spans="5:5" ht="13.8" x14ac:dyDescent="0.25">
      <c r="E402" s="1"/>
    </row>
    <row r="403" spans="5:5" ht="13.8" x14ac:dyDescent="0.25">
      <c r="E403" s="1"/>
    </row>
    <row r="404" spans="5:5" ht="13.8" x14ac:dyDescent="0.25">
      <c r="E404" s="1"/>
    </row>
    <row r="405" spans="5:5" ht="13.8" x14ac:dyDescent="0.25">
      <c r="E405" s="1"/>
    </row>
    <row r="406" spans="5:5" ht="13.8" x14ac:dyDescent="0.25">
      <c r="E406" s="1"/>
    </row>
    <row r="407" spans="5:5" ht="13.8" x14ac:dyDescent="0.25">
      <c r="E407" s="1"/>
    </row>
    <row r="408" spans="5:5" ht="13.8" x14ac:dyDescent="0.25">
      <c r="E408" s="1"/>
    </row>
    <row r="409" spans="5:5" ht="13.8" x14ac:dyDescent="0.25">
      <c r="E409" s="1"/>
    </row>
    <row r="410" spans="5:5" ht="13.8" x14ac:dyDescent="0.25">
      <c r="E410" s="1"/>
    </row>
    <row r="411" spans="5:5" ht="13.8" x14ac:dyDescent="0.25">
      <c r="E411" s="1"/>
    </row>
    <row r="412" spans="5:5" ht="13.8" x14ac:dyDescent="0.25">
      <c r="E412" s="1"/>
    </row>
    <row r="413" spans="5:5" ht="13.8" x14ac:dyDescent="0.25">
      <c r="E413" s="1"/>
    </row>
    <row r="414" spans="5:5" ht="13.8" x14ac:dyDescent="0.25">
      <c r="E414" s="1"/>
    </row>
    <row r="415" spans="5:5" ht="13.8" x14ac:dyDescent="0.25">
      <c r="E415" s="1"/>
    </row>
    <row r="416" spans="5:5" ht="13.8" x14ac:dyDescent="0.25">
      <c r="E416" s="1"/>
    </row>
    <row r="417" spans="5:5" ht="13.8" x14ac:dyDescent="0.25">
      <c r="E417" s="1"/>
    </row>
    <row r="418" spans="5:5" ht="13.8" x14ac:dyDescent="0.25">
      <c r="E418" s="1"/>
    </row>
    <row r="419" spans="5:5" ht="13.8" x14ac:dyDescent="0.25">
      <c r="E419" s="1"/>
    </row>
    <row r="420" spans="5:5" ht="13.8" x14ac:dyDescent="0.25">
      <c r="E420" s="1"/>
    </row>
    <row r="421" spans="5:5" ht="13.8" x14ac:dyDescent="0.25">
      <c r="E421" s="1"/>
    </row>
    <row r="422" spans="5:5" ht="13.8" x14ac:dyDescent="0.25">
      <c r="E422" s="1"/>
    </row>
    <row r="423" spans="5:5" ht="13.8" x14ac:dyDescent="0.25">
      <c r="E423" s="1"/>
    </row>
    <row r="424" spans="5:5" ht="13.8" x14ac:dyDescent="0.25">
      <c r="E424" s="1"/>
    </row>
    <row r="425" spans="5:5" ht="13.8" x14ac:dyDescent="0.25">
      <c r="E425" s="1"/>
    </row>
    <row r="426" spans="5:5" ht="13.8" x14ac:dyDescent="0.25">
      <c r="E426" s="1"/>
    </row>
    <row r="427" spans="5:5" ht="13.8" x14ac:dyDescent="0.25">
      <c r="E427" s="1"/>
    </row>
    <row r="428" spans="5:5" ht="13.8" x14ac:dyDescent="0.25">
      <c r="E428" s="1"/>
    </row>
    <row r="429" spans="5:5" ht="13.8" x14ac:dyDescent="0.25">
      <c r="E429" s="1"/>
    </row>
    <row r="430" spans="5:5" ht="13.8" x14ac:dyDescent="0.25">
      <c r="E430" s="1"/>
    </row>
    <row r="431" spans="5:5" ht="13.8" x14ac:dyDescent="0.25">
      <c r="E431" s="1"/>
    </row>
    <row r="432" spans="5:5" ht="13.8" x14ac:dyDescent="0.25">
      <c r="E432" s="1"/>
    </row>
    <row r="433" spans="5:5" ht="13.8" x14ac:dyDescent="0.25">
      <c r="E433" s="1"/>
    </row>
    <row r="434" spans="5:5" ht="13.8" x14ac:dyDescent="0.25">
      <c r="E434" s="1"/>
    </row>
    <row r="435" spans="5:5" ht="13.8" x14ac:dyDescent="0.25">
      <c r="E435" s="1"/>
    </row>
    <row r="436" spans="5:5" ht="13.8" x14ac:dyDescent="0.25">
      <c r="E436" s="1"/>
    </row>
    <row r="437" spans="5:5" ht="13.8" x14ac:dyDescent="0.25">
      <c r="E437" s="1"/>
    </row>
    <row r="438" spans="5:5" ht="13.8" x14ac:dyDescent="0.25">
      <c r="E438" s="1"/>
    </row>
    <row r="439" spans="5:5" ht="13.8" x14ac:dyDescent="0.25">
      <c r="E439" s="1"/>
    </row>
    <row r="440" spans="5:5" ht="13.8" x14ac:dyDescent="0.25">
      <c r="E440" s="1"/>
    </row>
    <row r="441" spans="5:5" ht="13.8" x14ac:dyDescent="0.25">
      <c r="E441" s="1"/>
    </row>
    <row r="442" spans="5:5" ht="13.8" x14ac:dyDescent="0.25">
      <c r="E442" s="1"/>
    </row>
    <row r="443" spans="5:5" ht="13.8" x14ac:dyDescent="0.25">
      <c r="E443" s="1"/>
    </row>
    <row r="444" spans="5:5" ht="13.8" x14ac:dyDescent="0.25">
      <c r="E444" s="1"/>
    </row>
    <row r="445" spans="5:5" ht="13.8" x14ac:dyDescent="0.25">
      <c r="E445" s="1"/>
    </row>
    <row r="446" spans="5:5" ht="13.8" x14ac:dyDescent="0.25">
      <c r="E446" s="1"/>
    </row>
    <row r="447" spans="5:5" ht="13.8" x14ac:dyDescent="0.25">
      <c r="E447" s="1"/>
    </row>
    <row r="448" spans="5:5" ht="13.8" x14ac:dyDescent="0.25">
      <c r="E448" s="1"/>
    </row>
    <row r="449" spans="5:5" ht="13.8" x14ac:dyDescent="0.25">
      <c r="E449" s="1"/>
    </row>
    <row r="450" spans="5:5" ht="13.8" x14ac:dyDescent="0.25">
      <c r="E450" s="1"/>
    </row>
    <row r="451" spans="5:5" ht="13.8" x14ac:dyDescent="0.25">
      <c r="E451" s="1"/>
    </row>
    <row r="452" spans="5:5" ht="13.8" x14ac:dyDescent="0.25">
      <c r="E452" s="1"/>
    </row>
    <row r="453" spans="5:5" ht="13.8" x14ac:dyDescent="0.25">
      <c r="E453" s="1"/>
    </row>
    <row r="454" spans="5:5" ht="13.8" x14ac:dyDescent="0.25">
      <c r="E454" s="1"/>
    </row>
    <row r="455" spans="5:5" ht="13.8" x14ac:dyDescent="0.25">
      <c r="E455" s="1"/>
    </row>
    <row r="456" spans="5:5" ht="13.8" x14ac:dyDescent="0.25">
      <c r="E456" s="1"/>
    </row>
    <row r="457" spans="5:5" ht="13.8" x14ac:dyDescent="0.25">
      <c r="E457" s="1"/>
    </row>
    <row r="458" spans="5:5" ht="13.8" x14ac:dyDescent="0.25">
      <c r="E458" s="1"/>
    </row>
    <row r="459" spans="5:5" ht="13.8" x14ac:dyDescent="0.25">
      <c r="E459" s="1"/>
    </row>
    <row r="460" spans="5:5" ht="13.8" x14ac:dyDescent="0.25">
      <c r="E460" s="1"/>
    </row>
    <row r="461" spans="5:5" ht="13.8" x14ac:dyDescent="0.25">
      <c r="E461" s="1"/>
    </row>
    <row r="462" spans="5:5" ht="13.8" x14ac:dyDescent="0.25">
      <c r="E462" s="1"/>
    </row>
    <row r="463" spans="5:5" ht="13.8" x14ac:dyDescent="0.25">
      <c r="E463" s="1"/>
    </row>
    <row r="464" spans="5:5" ht="13.8" x14ac:dyDescent="0.25">
      <c r="E464" s="1"/>
    </row>
    <row r="465" spans="5:5" ht="13.8" x14ac:dyDescent="0.25">
      <c r="E465" s="1"/>
    </row>
    <row r="466" spans="5:5" ht="13.8" x14ac:dyDescent="0.25">
      <c r="E466" s="1"/>
    </row>
    <row r="467" spans="5:5" ht="13.8" x14ac:dyDescent="0.25">
      <c r="E467" s="1"/>
    </row>
    <row r="468" spans="5:5" ht="13.8" x14ac:dyDescent="0.25">
      <c r="E468" s="1"/>
    </row>
    <row r="469" spans="5:5" ht="13.8" x14ac:dyDescent="0.25">
      <c r="E469" s="1"/>
    </row>
    <row r="470" spans="5:5" ht="13.8" x14ac:dyDescent="0.25">
      <c r="E470" s="1"/>
    </row>
    <row r="471" spans="5:5" ht="13.8" x14ac:dyDescent="0.25">
      <c r="E471" s="1"/>
    </row>
    <row r="472" spans="5:5" ht="13.8" x14ac:dyDescent="0.25">
      <c r="E472" s="1"/>
    </row>
    <row r="473" spans="5:5" ht="13.8" x14ac:dyDescent="0.25">
      <c r="E473" s="1"/>
    </row>
    <row r="474" spans="5:5" ht="13.8" x14ac:dyDescent="0.25">
      <c r="E474" s="1"/>
    </row>
    <row r="475" spans="5:5" ht="13.8" x14ac:dyDescent="0.25">
      <c r="E475" s="1"/>
    </row>
    <row r="476" spans="5:5" ht="13.8" x14ac:dyDescent="0.25">
      <c r="E476" s="1"/>
    </row>
    <row r="477" spans="5:5" ht="13.8" x14ac:dyDescent="0.25">
      <c r="E477" s="1"/>
    </row>
    <row r="478" spans="5:5" ht="13.8" x14ac:dyDescent="0.25">
      <c r="E478" s="1"/>
    </row>
    <row r="479" spans="5:5" ht="13.8" x14ac:dyDescent="0.25">
      <c r="E479" s="1"/>
    </row>
    <row r="480" spans="5:5" ht="13.8" x14ac:dyDescent="0.25">
      <c r="E480" s="1"/>
    </row>
    <row r="481" spans="5:5" ht="13.8" x14ac:dyDescent="0.25">
      <c r="E481" s="1"/>
    </row>
    <row r="482" spans="5:5" ht="13.8" x14ac:dyDescent="0.25">
      <c r="E482" s="1"/>
    </row>
    <row r="483" spans="5:5" ht="13.8" x14ac:dyDescent="0.25">
      <c r="E483" s="1"/>
    </row>
    <row r="484" spans="5:5" ht="13.8" x14ac:dyDescent="0.25">
      <c r="E484" s="1"/>
    </row>
    <row r="485" spans="5:5" ht="13.8" x14ac:dyDescent="0.25">
      <c r="E485" s="1"/>
    </row>
    <row r="486" spans="5:5" ht="13.8" x14ac:dyDescent="0.25">
      <c r="E486" s="1"/>
    </row>
    <row r="487" spans="5:5" ht="13.8" x14ac:dyDescent="0.25">
      <c r="E487" s="1"/>
    </row>
    <row r="488" spans="5:5" ht="13.8" x14ac:dyDescent="0.25">
      <c r="E488" s="1"/>
    </row>
    <row r="489" spans="5:5" ht="13.8" x14ac:dyDescent="0.25">
      <c r="E489" s="1"/>
    </row>
    <row r="490" spans="5:5" ht="13.8" x14ac:dyDescent="0.25">
      <c r="E490" s="1"/>
    </row>
    <row r="491" spans="5:5" ht="13.8" x14ac:dyDescent="0.25">
      <c r="E491" s="1"/>
    </row>
    <row r="492" spans="5:5" ht="13.8" x14ac:dyDescent="0.25">
      <c r="E492" s="1"/>
    </row>
    <row r="493" spans="5:5" ht="13.8" x14ac:dyDescent="0.25">
      <c r="E493" s="1"/>
    </row>
    <row r="494" spans="5:5" ht="13.8" x14ac:dyDescent="0.25">
      <c r="E494" s="1"/>
    </row>
    <row r="495" spans="5:5" ht="13.8" x14ac:dyDescent="0.25">
      <c r="E495" s="1"/>
    </row>
    <row r="496" spans="5:5" ht="13.8" x14ac:dyDescent="0.25">
      <c r="E496" s="1"/>
    </row>
    <row r="497" spans="5:5" ht="13.8" x14ac:dyDescent="0.25">
      <c r="E497" s="1"/>
    </row>
    <row r="498" spans="5:5" ht="13.8" x14ac:dyDescent="0.25">
      <c r="E498" s="1"/>
    </row>
    <row r="499" spans="5:5" ht="13.8" x14ac:dyDescent="0.25">
      <c r="E499" s="1"/>
    </row>
    <row r="500" spans="5:5" ht="13.8" x14ac:dyDescent="0.25">
      <c r="E500" s="1"/>
    </row>
    <row r="501" spans="5:5" ht="13.8" x14ac:dyDescent="0.25">
      <c r="E501" s="1"/>
    </row>
    <row r="502" spans="5:5" ht="13.8" x14ac:dyDescent="0.25">
      <c r="E502" s="1"/>
    </row>
    <row r="503" spans="5:5" ht="13.8" x14ac:dyDescent="0.25">
      <c r="E503" s="1"/>
    </row>
    <row r="504" spans="5:5" ht="13.8" x14ac:dyDescent="0.25">
      <c r="E504" s="1"/>
    </row>
    <row r="505" spans="5:5" ht="13.8" x14ac:dyDescent="0.25">
      <c r="E505" s="1"/>
    </row>
    <row r="506" spans="5:5" ht="13.8" x14ac:dyDescent="0.25">
      <c r="E506" s="1"/>
    </row>
    <row r="507" spans="5:5" ht="13.8" x14ac:dyDescent="0.25">
      <c r="E507" s="1"/>
    </row>
    <row r="508" spans="5:5" ht="13.8" x14ac:dyDescent="0.25">
      <c r="E508" s="1"/>
    </row>
    <row r="509" spans="5:5" ht="13.8" x14ac:dyDescent="0.25">
      <c r="E509" s="1"/>
    </row>
    <row r="510" spans="5:5" ht="13.8" x14ac:dyDescent="0.25">
      <c r="E510" s="1"/>
    </row>
    <row r="511" spans="5:5" ht="13.8" x14ac:dyDescent="0.25">
      <c r="E511" s="1"/>
    </row>
    <row r="512" spans="5:5" ht="13.8" x14ac:dyDescent="0.25">
      <c r="E512" s="1"/>
    </row>
    <row r="513" spans="5:5" ht="13.8" x14ac:dyDescent="0.25">
      <c r="E513" s="1"/>
    </row>
    <row r="514" spans="5:5" ht="13.8" x14ac:dyDescent="0.25">
      <c r="E514" s="1"/>
    </row>
    <row r="515" spans="5:5" ht="13.8" x14ac:dyDescent="0.25">
      <c r="E515" s="1"/>
    </row>
    <row r="516" spans="5:5" ht="13.8" x14ac:dyDescent="0.25">
      <c r="E516" s="1"/>
    </row>
    <row r="517" spans="5:5" ht="13.8" x14ac:dyDescent="0.25">
      <c r="E517" s="1"/>
    </row>
    <row r="518" spans="5:5" ht="13.8" x14ac:dyDescent="0.25">
      <c r="E518" s="1"/>
    </row>
    <row r="519" spans="5:5" ht="13.8" x14ac:dyDescent="0.25">
      <c r="E519" s="1"/>
    </row>
    <row r="520" spans="5:5" ht="13.8" x14ac:dyDescent="0.25">
      <c r="E520" s="1"/>
    </row>
    <row r="521" spans="5:5" ht="13.8" x14ac:dyDescent="0.25">
      <c r="E521" s="1"/>
    </row>
    <row r="522" spans="5:5" ht="13.8" x14ac:dyDescent="0.25">
      <c r="E522" s="1"/>
    </row>
    <row r="523" spans="5:5" ht="13.8" x14ac:dyDescent="0.25">
      <c r="E523" s="1"/>
    </row>
    <row r="524" spans="5:5" ht="13.8" x14ac:dyDescent="0.25">
      <c r="E524" s="1"/>
    </row>
    <row r="525" spans="5:5" ht="13.8" x14ac:dyDescent="0.25">
      <c r="E525" s="1"/>
    </row>
    <row r="526" spans="5:5" ht="13.8" x14ac:dyDescent="0.25">
      <c r="E526" s="1"/>
    </row>
    <row r="527" spans="5:5" ht="13.8" x14ac:dyDescent="0.25">
      <c r="E527" s="1"/>
    </row>
    <row r="528" spans="5:5" ht="13.8" x14ac:dyDescent="0.25">
      <c r="E528" s="1"/>
    </row>
    <row r="529" spans="5:5" ht="13.8" x14ac:dyDescent="0.25">
      <c r="E529" s="1"/>
    </row>
    <row r="530" spans="5:5" ht="13.8" x14ac:dyDescent="0.25">
      <c r="E530" s="1"/>
    </row>
    <row r="531" spans="5:5" ht="13.8" x14ac:dyDescent="0.25">
      <c r="E531" s="1"/>
    </row>
    <row r="532" spans="5:5" ht="13.8" x14ac:dyDescent="0.25">
      <c r="E532" s="1"/>
    </row>
    <row r="533" spans="5:5" ht="13.8" x14ac:dyDescent="0.25">
      <c r="E533" s="1"/>
    </row>
    <row r="534" spans="5:5" ht="13.8" x14ac:dyDescent="0.25">
      <c r="E534" s="1"/>
    </row>
    <row r="535" spans="5:5" ht="13.8" x14ac:dyDescent="0.25">
      <c r="E535" s="1"/>
    </row>
    <row r="536" spans="5:5" ht="13.8" x14ac:dyDescent="0.25">
      <c r="E536" s="1"/>
    </row>
    <row r="537" spans="5:5" ht="13.8" x14ac:dyDescent="0.25">
      <c r="E537" s="1"/>
    </row>
    <row r="538" spans="5:5" ht="13.8" x14ac:dyDescent="0.25">
      <c r="E538" s="1"/>
    </row>
    <row r="539" spans="5:5" ht="13.8" x14ac:dyDescent="0.25">
      <c r="E539" s="1"/>
    </row>
    <row r="540" spans="5:5" ht="13.8" x14ac:dyDescent="0.25">
      <c r="E540" s="1"/>
    </row>
    <row r="541" spans="5:5" ht="13.8" x14ac:dyDescent="0.25">
      <c r="E541" s="1"/>
    </row>
    <row r="542" spans="5:5" ht="13.8" x14ac:dyDescent="0.25">
      <c r="E542" s="1"/>
    </row>
    <row r="543" spans="5:5" ht="13.8" x14ac:dyDescent="0.25">
      <c r="E543" s="1"/>
    </row>
    <row r="544" spans="5:5" ht="13.8" x14ac:dyDescent="0.25">
      <c r="E544" s="1"/>
    </row>
    <row r="545" spans="5:5" ht="13.8" x14ac:dyDescent="0.25">
      <c r="E545" s="1"/>
    </row>
    <row r="546" spans="5:5" ht="13.8" x14ac:dyDescent="0.25">
      <c r="E546" s="1"/>
    </row>
    <row r="547" spans="5:5" ht="13.8" x14ac:dyDescent="0.25">
      <c r="E547" s="1"/>
    </row>
    <row r="548" spans="5:5" ht="13.8" x14ac:dyDescent="0.25">
      <c r="E548" s="1"/>
    </row>
    <row r="549" spans="5:5" ht="13.8" x14ac:dyDescent="0.25">
      <c r="E549" s="1"/>
    </row>
    <row r="550" spans="5:5" ht="13.8" x14ac:dyDescent="0.25">
      <c r="E550" s="1"/>
    </row>
    <row r="551" spans="5:5" ht="13.8" x14ac:dyDescent="0.25">
      <c r="E551" s="1"/>
    </row>
    <row r="552" spans="5:5" ht="13.8" x14ac:dyDescent="0.25">
      <c r="E552" s="1"/>
    </row>
    <row r="553" spans="5:5" ht="13.8" x14ac:dyDescent="0.25">
      <c r="E553" s="1"/>
    </row>
    <row r="554" spans="5:5" ht="13.8" x14ac:dyDescent="0.25">
      <c r="E554" s="1"/>
    </row>
    <row r="555" spans="5:5" ht="13.8" x14ac:dyDescent="0.25">
      <c r="E555" s="1"/>
    </row>
    <row r="556" spans="5:5" ht="13.8" x14ac:dyDescent="0.25">
      <c r="E556" s="1"/>
    </row>
    <row r="557" spans="5:5" ht="13.8" x14ac:dyDescent="0.25">
      <c r="E557" s="1"/>
    </row>
    <row r="558" spans="5:5" ht="13.8" x14ac:dyDescent="0.25">
      <c r="E558" s="1"/>
    </row>
    <row r="559" spans="5:5" ht="13.8" x14ac:dyDescent="0.25">
      <c r="E559" s="1"/>
    </row>
    <row r="560" spans="5:5" ht="13.8" x14ac:dyDescent="0.25">
      <c r="E560" s="1"/>
    </row>
    <row r="561" spans="5:5" ht="13.8" x14ac:dyDescent="0.25">
      <c r="E561" s="1"/>
    </row>
    <row r="562" spans="5:5" ht="13.8" x14ac:dyDescent="0.25">
      <c r="E562" s="1"/>
    </row>
    <row r="563" spans="5:5" ht="13.8" x14ac:dyDescent="0.25">
      <c r="E563" s="1"/>
    </row>
    <row r="564" spans="5:5" ht="13.8" x14ac:dyDescent="0.25">
      <c r="E564" s="1"/>
    </row>
    <row r="565" spans="5:5" ht="13.8" x14ac:dyDescent="0.25">
      <c r="E565" s="1"/>
    </row>
    <row r="566" spans="5:5" ht="13.8" x14ac:dyDescent="0.25">
      <c r="E566" s="1"/>
    </row>
    <row r="567" spans="5:5" ht="13.8" x14ac:dyDescent="0.25">
      <c r="E567" s="1"/>
    </row>
    <row r="568" spans="5:5" ht="13.8" x14ac:dyDescent="0.25">
      <c r="E568" s="1"/>
    </row>
    <row r="569" spans="5:5" ht="13.8" x14ac:dyDescent="0.25">
      <c r="E569" s="1"/>
    </row>
    <row r="570" spans="5:5" ht="13.8" x14ac:dyDescent="0.25">
      <c r="E570" s="1"/>
    </row>
    <row r="571" spans="5:5" ht="13.8" x14ac:dyDescent="0.25">
      <c r="E571" s="1"/>
    </row>
    <row r="572" spans="5:5" ht="13.8" x14ac:dyDescent="0.25">
      <c r="E572" s="1"/>
    </row>
    <row r="573" spans="5:5" ht="13.8" x14ac:dyDescent="0.25">
      <c r="E573" s="1"/>
    </row>
    <row r="574" spans="5:5" ht="13.8" x14ac:dyDescent="0.25">
      <c r="E574" s="1"/>
    </row>
    <row r="575" spans="5:5" ht="13.8" x14ac:dyDescent="0.25">
      <c r="E575" s="1"/>
    </row>
    <row r="576" spans="5:5" ht="13.8" x14ac:dyDescent="0.25">
      <c r="E576" s="1"/>
    </row>
    <row r="577" spans="5:5" ht="13.8" x14ac:dyDescent="0.25">
      <c r="E577" s="1"/>
    </row>
    <row r="578" spans="5:5" ht="13.8" x14ac:dyDescent="0.25">
      <c r="E578" s="1"/>
    </row>
    <row r="579" spans="5:5" ht="13.8" x14ac:dyDescent="0.25">
      <c r="E579" s="1"/>
    </row>
    <row r="580" spans="5:5" ht="13.8" x14ac:dyDescent="0.25">
      <c r="E580" s="1"/>
    </row>
    <row r="581" spans="5:5" ht="13.8" x14ac:dyDescent="0.25">
      <c r="E581" s="1"/>
    </row>
    <row r="582" spans="5:5" ht="13.8" x14ac:dyDescent="0.25">
      <c r="E582" s="1"/>
    </row>
    <row r="583" spans="5:5" ht="13.8" x14ac:dyDescent="0.25">
      <c r="E583" s="1"/>
    </row>
    <row r="584" spans="5:5" ht="13.8" x14ac:dyDescent="0.25">
      <c r="E584" s="1"/>
    </row>
    <row r="585" spans="5:5" ht="13.8" x14ac:dyDescent="0.25">
      <c r="E585" s="1"/>
    </row>
    <row r="586" spans="5:5" ht="13.8" x14ac:dyDescent="0.25">
      <c r="E586" s="1"/>
    </row>
    <row r="587" spans="5:5" ht="13.8" x14ac:dyDescent="0.25">
      <c r="E587" s="1"/>
    </row>
    <row r="588" spans="5:5" ht="13.8" x14ac:dyDescent="0.25">
      <c r="E588" s="1"/>
    </row>
    <row r="589" spans="5:5" ht="13.8" x14ac:dyDescent="0.25">
      <c r="E589" s="1"/>
    </row>
    <row r="590" spans="5:5" ht="13.8" x14ac:dyDescent="0.25">
      <c r="E590" s="1"/>
    </row>
    <row r="591" spans="5:5" ht="13.8" x14ac:dyDescent="0.25">
      <c r="E591" s="1"/>
    </row>
    <row r="592" spans="5:5" ht="13.8" x14ac:dyDescent="0.25">
      <c r="E592" s="1"/>
    </row>
    <row r="593" spans="5:5" ht="13.8" x14ac:dyDescent="0.25">
      <c r="E593" s="1"/>
    </row>
    <row r="594" spans="5:5" ht="13.8" x14ac:dyDescent="0.25">
      <c r="E594" s="1"/>
    </row>
    <row r="595" spans="5:5" ht="13.8" x14ac:dyDescent="0.25">
      <c r="E595" s="1"/>
    </row>
    <row r="596" spans="5:5" ht="13.8" x14ac:dyDescent="0.25">
      <c r="E596" s="1"/>
    </row>
    <row r="597" spans="5:5" ht="13.8" x14ac:dyDescent="0.25">
      <c r="E597" s="1"/>
    </row>
    <row r="598" spans="5:5" ht="13.8" x14ac:dyDescent="0.25">
      <c r="E598" s="1"/>
    </row>
    <row r="599" spans="5:5" ht="13.8" x14ac:dyDescent="0.25">
      <c r="E599" s="1"/>
    </row>
    <row r="600" spans="5:5" ht="13.8" x14ac:dyDescent="0.25">
      <c r="E600" s="1"/>
    </row>
    <row r="601" spans="5:5" ht="13.8" x14ac:dyDescent="0.25">
      <c r="E601" s="1"/>
    </row>
    <row r="602" spans="5:5" ht="13.8" x14ac:dyDescent="0.25">
      <c r="E602" s="1"/>
    </row>
    <row r="603" spans="5:5" ht="13.8" x14ac:dyDescent="0.25">
      <c r="E603" s="1"/>
    </row>
    <row r="604" spans="5:5" ht="13.8" x14ac:dyDescent="0.25">
      <c r="E604" s="1"/>
    </row>
    <row r="605" spans="5:5" ht="13.8" x14ac:dyDescent="0.25">
      <c r="E605" s="1"/>
    </row>
    <row r="606" spans="5:5" ht="13.8" x14ac:dyDescent="0.25">
      <c r="E606" s="1"/>
    </row>
    <row r="607" spans="5:5" ht="13.8" x14ac:dyDescent="0.25">
      <c r="E607" s="1"/>
    </row>
    <row r="608" spans="5:5" ht="13.8" x14ac:dyDescent="0.25">
      <c r="E608" s="1"/>
    </row>
    <row r="609" spans="5:5" ht="13.8" x14ac:dyDescent="0.25">
      <c r="E609" s="1"/>
    </row>
    <row r="610" spans="5:5" ht="13.8" x14ac:dyDescent="0.25">
      <c r="E610" s="1"/>
    </row>
    <row r="611" spans="5:5" ht="13.8" x14ac:dyDescent="0.25">
      <c r="E611" s="1"/>
    </row>
    <row r="612" spans="5:5" ht="13.8" x14ac:dyDescent="0.25">
      <c r="E612" s="1"/>
    </row>
    <row r="613" spans="5:5" ht="13.8" x14ac:dyDescent="0.25">
      <c r="E613" s="1"/>
    </row>
    <row r="614" spans="5:5" ht="13.8" x14ac:dyDescent="0.25">
      <c r="E614" s="1"/>
    </row>
    <row r="615" spans="5:5" ht="13.8" x14ac:dyDescent="0.25">
      <c r="E615" s="1"/>
    </row>
    <row r="616" spans="5:5" ht="13.8" x14ac:dyDescent="0.25">
      <c r="E616" s="1"/>
    </row>
    <row r="617" spans="5:5" ht="13.8" x14ac:dyDescent="0.25">
      <c r="E617" s="1"/>
    </row>
    <row r="618" spans="5:5" ht="13.8" x14ac:dyDescent="0.25">
      <c r="E618" s="1"/>
    </row>
    <row r="619" spans="5:5" ht="13.8" x14ac:dyDescent="0.25">
      <c r="E619" s="1"/>
    </row>
    <row r="620" spans="5:5" ht="13.8" x14ac:dyDescent="0.25">
      <c r="E620" s="1"/>
    </row>
    <row r="621" spans="5:5" ht="13.8" x14ac:dyDescent="0.25">
      <c r="E621" s="1"/>
    </row>
    <row r="622" spans="5:5" ht="13.8" x14ac:dyDescent="0.25">
      <c r="E622" s="1"/>
    </row>
    <row r="623" spans="5:5" ht="13.8" x14ac:dyDescent="0.25">
      <c r="E623" s="1"/>
    </row>
    <row r="624" spans="5:5" ht="13.8" x14ac:dyDescent="0.25">
      <c r="E624" s="1"/>
    </row>
    <row r="625" spans="5:5" ht="13.8" x14ac:dyDescent="0.25">
      <c r="E625" s="1"/>
    </row>
    <row r="626" spans="5:5" ht="13.8" x14ac:dyDescent="0.25">
      <c r="E626" s="1"/>
    </row>
    <row r="627" spans="5:5" ht="13.8" x14ac:dyDescent="0.25">
      <c r="E627" s="1"/>
    </row>
    <row r="628" spans="5:5" ht="13.8" x14ac:dyDescent="0.25">
      <c r="E628" s="1"/>
    </row>
    <row r="629" spans="5:5" ht="13.8" x14ac:dyDescent="0.25">
      <c r="E629" s="1"/>
    </row>
    <row r="630" spans="5:5" ht="13.8" x14ac:dyDescent="0.25">
      <c r="E630" s="1"/>
    </row>
    <row r="631" spans="5:5" ht="13.8" x14ac:dyDescent="0.25">
      <c r="E631" s="1"/>
    </row>
    <row r="632" spans="5:5" ht="13.8" x14ac:dyDescent="0.25">
      <c r="E632" s="1"/>
    </row>
    <row r="633" spans="5:5" ht="13.8" x14ac:dyDescent="0.25">
      <c r="E633" s="1"/>
    </row>
    <row r="634" spans="5:5" ht="13.8" x14ac:dyDescent="0.25">
      <c r="E634" s="1"/>
    </row>
    <row r="635" spans="5:5" ht="13.8" x14ac:dyDescent="0.25">
      <c r="E635" s="1"/>
    </row>
    <row r="636" spans="5:5" ht="13.8" x14ac:dyDescent="0.25">
      <c r="E636" s="1"/>
    </row>
    <row r="637" spans="5:5" ht="13.8" x14ac:dyDescent="0.25">
      <c r="E637" s="1"/>
    </row>
    <row r="638" spans="5:5" ht="13.8" x14ac:dyDescent="0.25">
      <c r="E638" s="1"/>
    </row>
    <row r="639" spans="5:5" ht="13.8" x14ac:dyDescent="0.25">
      <c r="E639" s="1"/>
    </row>
    <row r="640" spans="5:5" ht="13.8" x14ac:dyDescent="0.25">
      <c r="E640" s="1"/>
    </row>
    <row r="641" spans="5:5" ht="13.8" x14ac:dyDescent="0.25">
      <c r="E641" s="1"/>
    </row>
    <row r="642" spans="5:5" ht="13.8" x14ac:dyDescent="0.25">
      <c r="E642" s="1"/>
    </row>
    <row r="643" spans="5:5" ht="13.8" x14ac:dyDescent="0.25">
      <c r="E643" s="1"/>
    </row>
    <row r="644" spans="5:5" ht="13.8" x14ac:dyDescent="0.25">
      <c r="E644" s="1"/>
    </row>
    <row r="645" spans="5:5" ht="13.8" x14ac:dyDescent="0.25">
      <c r="E645" s="1"/>
    </row>
    <row r="646" spans="5:5" ht="13.8" x14ac:dyDescent="0.25">
      <c r="E646" s="1"/>
    </row>
    <row r="647" spans="5:5" ht="13.8" x14ac:dyDescent="0.25">
      <c r="E647" s="1"/>
    </row>
    <row r="648" spans="5:5" ht="13.8" x14ac:dyDescent="0.25">
      <c r="E648" s="1"/>
    </row>
    <row r="649" spans="5:5" ht="13.8" x14ac:dyDescent="0.25">
      <c r="E649" s="1"/>
    </row>
    <row r="650" spans="5:5" ht="13.8" x14ac:dyDescent="0.25">
      <c r="E650" s="1"/>
    </row>
    <row r="651" spans="5:5" ht="13.8" x14ac:dyDescent="0.25">
      <c r="E651" s="1"/>
    </row>
    <row r="652" spans="5:5" ht="13.8" x14ac:dyDescent="0.25">
      <c r="E652" s="1"/>
    </row>
    <row r="653" spans="5:5" ht="13.8" x14ac:dyDescent="0.25">
      <c r="E653" s="1"/>
    </row>
    <row r="654" spans="5:5" ht="13.8" x14ac:dyDescent="0.25">
      <c r="E654" s="1"/>
    </row>
    <row r="655" spans="5:5" ht="13.8" x14ac:dyDescent="0.25">
      <c r="E655" s="1"/>
    </row>
    <row r="656" spans="5:5" ht="13.8" x14ac:dyDescent="0.25">
      <c r="E656" s="1"/>
    </row>
    <row r="657" spans="5:5" ht="13.8" x14ac:dyDescent="0.25">
      <c r="E657" s="1"/>
    </row>
    <row r="658" spans="5:5" ht="13.8" x14ac:dyDescent="0.25">
      <c r="E658" s="1"/>
    </row>
    <row r="659" spans="5:5" ht="13.8" x14ac:dyDescent="0.25">
      <c r="E659" s="1"/>
    </row>
    <row r="660" spans="5:5" ht="13.8" x14ac:dyDescent="0.25">
      <c r="E660" s="1"/>
    </row>
    <row r="661" spans="5:5" ht="13.8" x14ac:dyDescent="0.25">
      <c r="E661" s="1"/>
    </row>
    <row r="662" spans="5:5" ht="13.8" x14ac:dyDescent="0.25">
      <c r="E662" s="1"/>
    </row>
    <row r="663" spans="5:5" ht="13.8" x14ac:dyDescent="0.25">
      <c r="E663" s="1"/>
    </row>
    <row r="664" spans="5:5" ht="13.8" x14ac:dyDescent="0.25">
      <c r="E664" s="1"/>
    </row>
    <row r="665" spans="5:5" ht="13.8" x14ac:dyDescent="0.25">
      <c r="E665" s="1"/>
    </row>
    <row r="666" spans="5:5" ht="13.8" x14ac:dyDescent="0.25">
      <c r="E666" s="1"/>
    </row>
    <row r="667" spans="5:5" ht="13.8" x14ac:dyDescent="0.25">
      <c r="E667" s="1"/>
    </row>
    <row r="668" spans="5:5" ht="13.8" x14ac:dyDescent="0.25">
      <c r="E668" s="1"/>
    </row>
    <row r="669" spans="5:5" ht="13.8" x14ac:dyDescent="0.25">
      <c r="E669" s="1"/>
    </row>
    <row r="670" spans="5:5" ht="13.8" x14ac:dyDescent="0.25">
      <c r="E670" s="1"/>
    </row>
    <row r="671" spans="5:5" ht="13.8" x14ac:dyDescent="0.25">
      <c r="E671" s="1"/>
    </row>
    <row r="672" spans="5:5" ht="13.8" x14ac:dyDescent="0.25">
      <c r="E672" s="1"/>
    </row>
    <row r="673" spans="5:5" ht="13.8" x14ac:dyDescent="0.25">
      <c r="E673" s="1"/>
    </row>
    <row r="674" spans="5:5" ht="13.8" x14ac:dyDescent="0.25">
      <c r="E674" s="1"/>
    </row>
    <row r="675" spans="5:5" ht="13.8" x14ac:dyDescent="0.25">
      <c r="E675" s="1"/>
    </row>
    <row r="676" spans="5:5" ht="13.8" x14ac:dyDescent="0.25">
      <c r="E676" s="1"/>
    </row>
    <row r="677" spans="5:5" ht="13.8" x14ac:dyDescent="0.25">
      <c r="E677" s="1"/>
    </row>
    <row r="678" spans="5:5" ht="13.8" x14ac:dyDescent="0.25">
      <c r="E678" s="1"/>
    </row>
    <row r="679" spans="5:5" ht="13.8" x14ac:dyDescent="0.25">
      <c r="E679" s="1"/>
    </row>
    <row r="680" spans="5:5" ht="13.8" x14ac:dyDescent="0.25">
      <c r="E680" s="1"/>
    </row>
    <row r="681" spans="5:5" ht="13.8" x14ac:dyDescent="0.25">
      <c r="E681" s="1"/>
    </row>
    <row r="682" spans="5:5" ht="13.8" x14ac:dyDescent="0.25">
      <c r="E682" s="1"/>
    </row>
    <row r="683" spans="5:5" ht="13.8" x14ac:dyDescent="0.25">
      <c r="E683" s="1"/>
    </row>
    <row r="684" spans="5:5" ht="13.8" x14ac:dyDescent="0.25">
      <c r="E684" s="1"/>
    </row>
    <row r="685" spans="5:5" ht="13.8" x14ac:dyDescent="0.25">
      <c r="E685" s="1"/>
    </row>
    <row r="686" spans="5:5" ht="13.8" x14ac:dyDescent="0.25">
      <c r="E686" s="1"/>
    </row>
    <row r="687" spans="5:5" ht="13.8" x14ac:dyDescent="0.25">
      <c r="E687" s="1"/>
    </row>
    <row r="688" spans="5:5" ht="13.8" x14ac:dyDescent="0.25">
      <c r="E688" s="1"/>
    </row>
    <row r="689" spans="5:5" ht="13.8" x14ac:dyDescent="0.25">
      <c r="E689" s="1"/>
    </row>
    <row r="690" spans="5:5" ht="13.8" x14ac:dyDescent="0.25">
      <c r="E690" s="1"/>
    </row>
    <row r="691" spans="5:5" ht="13.8" x14ac:dyDescent="0.25">
      <c r="E691" s="1"/>
    </row>
    <row r="692" spans="5:5" ht="13.8" x14ac:dyDescent="0.25">
      <c r="E692" s="1"/>
    </row>
    <row r="693" spans="5:5" ht="13.8" x14ac:dyDescent="0.25">
      <c r="E693" s="1"/>
    </row>
    <row r="694" spans="5:5" ht="13.8" x14ac:dyDescent="0.25">
      <c r="E694" s="1"/>
    </row>
    <row r="695" spans="5:5" ht="13.8" x14ac:dyDescent="0.25">
      <c r="E695" s="1"/>
    </row>
    <row r="696" spans="5:5" ht="13.8" x14ac:dyDescent="0.25">
      <c r="E696" s="1"/>
    </row>
    <row r="697" spans="5:5" ht="13.8" x14ac:dyDescent="0.25">
      <c r="E697" s="1"/>
    </row>
    <row r="698" spans="5:5" ht="13.8" x14ac:dyDescent="0.25">
      <c r="E698" s="1"/>
    </row>
    <row r="699" spans="5:5" ht="13.8" x14ac:dyDescent="0.25">
      <c r="E699" s="1"/>
    </row>
    <row r="700" spans="5:5" ht="13.8" x14ac:dyDescent="0.25">
      <c r="E700" s="1"/>
    </row>
    <row r="701" spans="5:5" ht="13.8" x14ac:dyDescent="0.25">
      <c r="E701" s="1"/>
    </row>
    <row r="702" spans="5:5" ht="13.8" x14ac:dyDescent="0.25">
      <c r="E702" s="1"/>
    </row>
    <row r="703" spans="5:5" ht="13.8" x14ac:dyDescent="0.25">
      <c r="E703" s="1"/>
    </row>
    <row r="704" spans="5:5" ht="13.8" x14ac:dyDescent="0.25">
      <c r="E704" s="1"/>
    </row>
    <row r="705" spans="5:5" ht="13.8" x14ac:dyDescent="0.25">
      <c r="E705" s="1"/>
    </row>
    <row r="706" spans="5:5" ht="13.8" x14ac:dyDescent="0.25">
      <c r="E706" s="1"/>
    </row>
    <row r="707" spans="5:5" ht="13.8" x14ac:dyDescent="0.25">
      <c r="E707" s="1"/>
    </row>
    <row r="708" spans="5:5" ht="13.8" x14ac:dyDescent="0.25">
      <c r="E708" s="1"/>
    </row>
    <row r="709" spans="5:5" ht="13.8" x14ac:dyDescent="0.25">
      <c r="E709" s="1"/>
    </row>
    <row r="710" spans="5:5" ht="13.8" x14ac:dyDescent="0.25">
      <c r="E710" s="1"/>
    </row>
    <row r="711" spans="5:5" ht="13.8" x14ac:dyDescent="0.25">
      <c r="E711" s="1"/>
    </row>
    <row r="712" spans="5:5" ht="13.8" x14ac:dyDescent="0.25">
      <c r="E712" s="1"/>
    </row>
    <row r="713" spans="5:5" ht="13.8" x14ac:dyDescent="0.25">
      <c r="E713" s="1"/>
    </row>
    <row r="714" spans="5:5" ht="13.8" x14ac:dyDescent="0.25">
      <c r="E714" s="1"/>
    </row>
    <row r="715" spans="5:5" ht="13.8" x14ac:dyDescent="0.25">
      <c r="E715" s="1"/>
    </row>
    <row r="716" spans="5:5" ht="13.8" x14ac:dyDescent="0.25">
      <c r="E716" s="1"/>
    </row>
    <row r="717" spans="5:5" ht="13.8" x14ac:dyDescent="0.25">
      <c r="E717" s="1"/>
    </row>
    <row r="718" spans="5:5" ht="13.8" x14ac:dyDescent="0.25">
      <c r="E718" s="1"/>
    </row>
    <row r="719" spans="5:5" ht="13.8" x14ac:dyDescent="0.25">
      <c r="E719" s="1"/>
    </row>
    <row r="720" spans="5:5" ht="13.8" x14ac:dyDescent="0.25">
      <c r="E720" s="1"/>
    </row>
    <row r="721" spans="5:5" ht="13.8" x14ac:dyDescent="0.25">
      <c r="E721" s="1"/>
    </row>
    <row r="722" spans="5:5" ht="13.8" x14ac:dyDescent="0.25">
      <c r="E722" s="1"/>
    </row>
    <row r="723" spans="5:5" ht="13.8" x14ac:dyDescent="0.25">
      <c r="E723" s="1"/>
    </row>
    <row r="724" spans="5:5" ht="13.8" x14ac:dyDescent="0.25">
      <c r="E724" s="1"/>
    </row>
    <row r="725" spans="5:5" ht="13.8" x14ac:dyDescent="0.25">
      <c r="E725" s="1"/>
    </row>
    <row r="726" spans="5:5" ht="13.8" x14ac:dyDescent="0.25">
      <c r="E726" s="1"/>
    </row>
    <row r="727" spans="5:5" ht="13.8" x14ac:dyDescent="0.25">
      <c r="E727" s="1"/>
    </row>
    <row r="728" spans="5:5" ht="13.8" x14ac:dyDescent="0.25">
      <c r="E728" s="1"/>
    </row>
    <row r="729" spans="5:5" ht="13.8" x14ac:dyDescent="0.25">
      <c r="E729" s="1"/>
    </row>
    <row r="730" spans="5:5" ht="13.8" x14ac:dyDescent="0.25">
      <c r="E730" s="1"/>
    </row>
    <row r="731" spans="5:5" ht="13.8" x14ac:dyDescent="0.25">
      <c r="E731" s="1"/>
    </row>
    <row r="732" spans="5:5" ht="13.8" x14ac:dyDescent="0.25">
      <c r="E732" s="1"/>
    </row>
    <row r="733" spans="5:5" ht="13.8" x14ac:dyDescent="0.25">
      <c r="E733" s="1"/>
    </row>
    <row r="734" spans="5:5" ht="13.8" x14ac:dyDescent="0.25">
      <c r="E734" s="1"/>
    </row>
    <row r="735" spans="5:5" ht="13.8" x14ac:dyDescent="0.25">
      <c r="E735" s="1"/>
    </row>
    <row r="736" spans="5:5" ht="13.8" x14ac:dyDescent="0.25">
      <c r="E736" s="1"/>
    </row>
    <row r="737" spans="5:5" ht="13.8" x14ac:dyDescent="0.25">
      <c r="E737" s="1"/>
    </row>
    <row r="738" spans="5:5" ht="13.8" x14ac:dyDescent="0.25">
      <c r="E738" s="1"/>
    </row>
    <row r="739" spans="5:5" ht="13.8" x14ac:dyDescent="0.25">
      <c r="E739" s="1"/>
    </row>
    <row r="740" spans="5:5" ht="13.8" x14ac:dyDescent="0.25">
      <c r="E740" s="1"/>
    </row>
    <row r="741" spans="5:5" ht="13.8" x14ac:dyDescent="0.25">
      <c r="E741" s="1"/>
    </row>
    <row r="742" spans="5:5" ht="13.8" x14ac:dyDescent="0.25">
      <c r="E742" s="1"/>
    </row>
    <row r="743" spans="5:5" ht="13.8" x14ac:dyDescent="0.25">
      <c r="E743" s="1"/>
    </row>
    <row r="744" spans="5:5" ht="13.8" x14ac:dyDescent="0.25">
      <c r="E744" s="1"/>
    </row>
    <row r="745" spans="5:5" ht="13.8" x14ac:dyDescent="0.25">
      <c r="E745" s="1"/>
    </row>
    <row r="746" spans="5:5" ht="13.8" x14ac:dyDescent="0.25">
      <c r="E746" s="1"/>
    </row>
    <row r="747" spans="5:5" ht="13.8" x14ac:dyDescent="0.25">
      <c r="E747" s="1"/>
    </row>
    <row r="748" spans="5:5" ht="13.8" x14ac:dyDescent="0.25">
      <c r="E748" s="1"/>
    </row>
    <row r="749" spans="5:5" ht="13.8" x14ac:dyDescent="0.25">
      <c r="E749" s="1"/>
    </row>
    <row r="750" spans="5:5" ht="13.8" x14ac:dyDescent="0.25">
      <c r="E750" s="1"/>
    </row>
    <row r="751" spans="5:5" ht="13.8" x14ac:dyDescent="0.25">
      <c r="E751" s="1"/>
    </row>
    <row r="752" spans="5:5" ht="13.8" x14ac:dyDescent="0.25">
      <c r="E752" s="1"/>
    </row>
    <row r="753" spans="5:5" ht="13.8" x14ac:dyDescent="0.25">
      <c r="E753" s="1"/>
    </row>
    <row r="754" spans="5:5" ht="13.8" x14ac:dyDescent="0.25">
      <c r="E754" s="1"/>
    </row>
    <row r="755" spans="5:5" ht="13.8" x14ac:dyDescent="0.25">
      <c r="E755" s="1"/>
    </row>
    <row r="756" spans="5:5" ht="13.8" x14ac:dyDescent="0.25">
      <c r="E756" s="1"/>
    </row>
    <row r="757" spans="5:5" ht="13.8" x14ac:dyDescent="0.25">
      <c r="E757" s="1"/>
    </row>
    <row r="758" spans="5:5" ht="13.8" x14ac:dyDescent="0.25">
      <c r="E758" s="1"/>
    </row>
    <row r="759" spans="5:5" ht="13.8" x14ac:dyDescent="0.25">
      <c r="E759" s="1"/>
    </row>
    <row r="760" spans="5:5" ht="13.8" x14ac:dyDescent="0.25">
      <c r="E760" s="1"/>
    </row>
    <row r="761" spans="5:5" ht="13.8" x14ac:dyDescent="0.25">
      <c r="E761" s="1"/>
    </row>
    <row r="762" spans="5:5" ht="13.8" x14ac:dyDescent="0.25">
      <c r="E762" s="1"/>
    </row>
    <row r="763" spans="5:5" ht="13.8" x14ac:dyDescent="0.25">
      <c r="E763" s="1"/>
    </row>
    <row r="764" spans="5:5" ht="13.8" x14ac:dyDescent="0.25">
      <c r="E764" s="1"/>
    </row>
    <row r="765" spans="5:5" ht="13.8" x14ac:dyDescent="0.25">
      <c r="E765" s="1"/>
    </row>
    <row r="766" spans="5:5" ht="13.8" x14ac:dyDescent="0.25">
      <c r="E766" s="1"/>
    </row>
    <row r="767" spans="5:5" ht="13.8" x14ac:dyDescent="0.25">
      <c r="E767" s="1"/>
    </row>
    <row r="768" spans="5:5" ht="13.8" x14ac:dyDescent="0.25">
      <c r="E768" s="1"/>
    </row>
    <row r="769" spans="5:5" ht="13.8" x14ac:dyDescent="0.25">
      <c r="E769" s="1"/>
    </row>
    <row r="770" spans="5:5" ht="13.8" x14ac:dyDescent="0.25">
      <c r="E770" s="1"/>
    </row>
    <row r="771" spans="5:5" ht="13.8" x14ac:dyDescent="0.25">
      <c r="E771" s="1"/>
    </row>
    <row r="772" spans="5:5" ht="13.8" x14ac:dyDescent="0.25">
      <c r="E772" s="1"/>
    </row>
    <row r="773" spans="5:5" ht="13.8" x14ac:dyDescent="0.25">
      <c r="E773" s="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5264F-2393-472D-822A-5CA2B59826A8}">
  <dimension ref="A2:O251"/>
  <sheetViews>
    <sheetView topLeftCell="A122" workbookViewId="0">
      <selection activeCell="N127" sqref="N127"/>
    </sheetView>
  </sheetViews>
  <sheetFormatPr defaultRowHeight="13.2" x14ac:dyDescent="0.25"/>
  <cols>
    <col min="1" max="1" width="18.59765625" style="49" customWidth="1"/>
    <col min="2" max="2" width="11.3984375" style="49" customWidth="1"/>
    <col min="3" max="16384" width="8.796875" style="49"/>
  </cols>
  <sheetData>
    <row r="2" spans="1:2" x14ac:dyDescent="0.25">
      <c r="A2" s="49" t="s">
        <v>19</v>
      </c>
      <c r="B2" s="49" t="s">
        <v>20</v>
      </c>
    </row>
    <row r="4" spans="1:2" x14ac:dyDescent="0.25">
      <c r="A4" s="49" t="s">
        <v>21</v>
      </c>
      <c r="B4" s="49" t="s">
        <v>194</v>
      </c>
    </row>
    <row r="5" spans="1:2" x14ac:dyDescent="0.25">
      <c r="A5" s="49" t="s">
        <v>22</v>
      </c>
      <c r="B5" s="49" t="s">
        <v>112</v>
      </c>
    </row>
    <row r="6" spans="1:2" x14ac:dyDescent="0.25">
      <c r="A6" s="49" t="s">
        <v>23</v>
      </c>
      <c r="B6" s="49" t="s">
        <v>24</v>
      </c>
    </row>
    <row r="7" spans="1:2" x14ac:dyDescent="0.25">
      <c r="A7" s="49" t="s">
        <v>2</v>
      </c>
      <c r="B7" s="60">
        <v>45625</v>
      </c>
    </row>
    <row r="8" spans="1:2" x14ac:dyDescent="0.25">
      <c r="A8" s="49" t="s">
        <v>25</v>
      </c>
      <c r="B8" s="59">
        <v>0.92976851851851849</v>
      </c>
    </row>
    <row r="9" spans="1:2" x14ac:dyDescent="0.25">
      <c r="A9" s="49" t="s">
        <v>26</v>
      </c>
      <c r="B9" s="49" t="s">
        <v>113</v>
      </c>
    </row>
    <row r="10" spans="1:2" x14ac:dyDescent="0.25">
      <c r="A10" s="49" t="s">
        <v>27</v>
      </c>
      <c r="B10" s="49">
        <v>13081218</v>
      </c>
    </row>
    <row r="11" spans="1:2" x14ac:dyDescent="0.25">
      <c r="A11" s="49" t="s">
        <v>28</v>
      </c>
      <c r="B11" s="49" t="s">
        <v>29</v>
      </c>
    </row>
    <row r="13" spans="1:2" x14ac:dyDescent="0.25">
      <c r="A13" s="53" t="s">
        <v>30</v>
      </c>
      <c r="B13" s="52"/>
    </row>
    <row r="14" spans="1:2" x14ac:dyDescent="0.25">
      <c r="A14" s="49" t="s">
        <v>31</v>
      </c>
      <c r="B14" s="49" t="s">
        <v>32</v>
      </c>
    </row>
    <row r="15" spans="1:2" x14ac:dyDescent="0.25">
      <c r="A15" s="49" t="s">
        <v>33</v>
      </c>
    </row>
    <row r="16" spans="1:2" x14ac:dyDescent="0.25">
      <c r="A16" s="49" t="s">
        <v>34</v>
      </c>
      <c r="B16" s="49" t="s">
        <v>35</v>
      </c>
    </row>
    <row r="17" spans="1:15" x14ac:dyDescent="0.25">
      <c r="B17" s="49" t="s">
        <v>193</v>
      </c>
    </row>
    <row r="18" spans="1:15" x14ac:dyDescent="0.25">
      <c r="B18" s="49" t="s">
        <v>115</v>
      </c>
    </row>
    <row r="19" spans="1:15" x14ac:dyDescent="0.25">
      <c r="B19" s="49" t="s">
        <v>96</v>
      </c>
    </row>
    <row r="21" spans="1:15" x14ac:dyDescent="0.25">
      <c r="A21" s="53" t="s">
        <v>36</v>
      </c>
      <c r="B21" s="52"/>
    </row>
    <row r="23" spans="1:15" x14ac:dyDescent="0.25">
      <c r="B23" s="58"/>
      <c r="C23" s="51">
        <v>1</v>
      </c>
      <c r="D23" s="51">
        <v>2</v>
      </c>
      <c r="E23" s="51">
        <v>3</v>
      </c>
      <c r="F23" s="51">
        <v>4</v>
      </c>
      <c r="G23" s="51">
        <v>5</v>
      </c>
      <c r="H23" s="51">
        <v>6</v>
      </c>
      <c r="I23" s="51">
        <v>7</v>
      </c>
      <c r="J23" s="51">
        <v>8</v>
      </c>
      <c r="K23" s="51">
        <v>9</v>
      </c>
      <c r="L23" s="51">
        <v>10</v>
      </c>
      <c r="M23" s="51">
        <v>11</v>
      </c>
      <c r="N23" s="51">
        <v>12</v>
      </c>
    </row>
    <row r="24" spans="1:15" x14ac:dyDescent="0.25">
      <c r="B24" s="51" t="s">
        <v>37</v>
      </c>
      <c r="C24" s="57" t="s">
        <v>38</v>
      </c>
      <c r="D24" s="56" t="s">
        <v>39</v>
      </c>
      <c r="E24" s="56" t="s">
        <v>58</v>
      </c>
      <c r="F24" s="56" t="s">
        <v>180</v>
      </c>
      <c r="G24" s="56" t="s">
        <v>174</v>
      </c>
      <c r="H24" s="56" t="s">
        <v>165</v>
      </c>
      <c r="I24" s="55"/>
      <c r="J24" s="55"/>
      <c r="K24" s="55"/>
      <c r="L24" s="55"/>
      <c r="M24" s="55"/>
      <c r="N24" s="55"/>
      <c r="O24" s="54" t="s">
        <v>41</v>
      </c>
    </row>
    <row r="25" spans="1:15" x14ac:dyDescent="0.25">
      <c r="B25" s="51" t="s">
        <v>43</v>
      </c>
      <c r="C25" s="57" t="s">
        <v>38</v>
      </c>
      <c r="D25" s="56" t="s">
        <v>39</v>
      </c>
      <c r="E25" s="56" t="s">
        <v>58</v>
      </c>
      <c r="F25" s="56" t="s">
        <v>180</v>
      </c>
      <c r="G25" s="56" t="s">
        <v>174</v>
      </c>
      <c r="H25" s="56" t="s">
        <v>165</v>
      </c>
      <c r="I25" s="55"/>
      <c r="J25" s="55"/>
      <c r="K25" s="55"/>
      <c r="L25" s="55"/>
      <c r="M25" s="55"/>
      <c r="N25" s="55"/>
      <c r="O25" s="54" t="s">
        <v>41</v>
      </c>
    </row>
    <row r="26" spans="1:15" x14ac:dyDescent="0.25">
      <c r="B26" s="51" t="s">
        <v>44</v>
      </c>
      <c r="C26" s="56" t="s">
        <v>46</v>
      </c>
      <c r="D26" s="56" t="s">
        <v>47</v>
      </c>
      <c r="E26" s="56" t="s">
        <v>40</v>
      </c>
      <c r="F26" s="56" t="s">
        <v>179</v>
      </c>
      <c r="G26" s="56" t="s">
        <v>171</v>
      </c>
      <c r="H26" s="56" t="s">
        <v>162</v>
      </c>
      <c r="I26" s="57" t="s">
        <v>38</v>
      </c>
      <c r="J26" s="55"/>
      <c r="K26" s="55"/>
      <c r="L26" s="55"/>
      <c r="M26" s="55"/>
      <c r="N26" s="55"/>
      <c r="O26" s="54" t="s">
        <v>41</v>
      </c>
    </row>
    <row r="27" spans="1:15" x14ac:dyDescent="0.25">
      <c r="B27" s="51" t="s">
        <v>49</v>
      </c>
      <c r="C27" s="56" t="s">
        <v>46</v>
      </c>
      <c r="D27" s="56" t="s">
        <v>47</v>
      </c>
      <c r="E27" s="56" t="s">
        <v>40</v>
      </c>
      <c r="F27" s="56" t="s">
        <v>179</v>
      </c>
      <c r="G27" s="56" t="s">
        <v>171</v>
      </c>
      <c r="H27" s="56" t="s">
        <v>162</v>
      </c>
      <c r="I27" s="57" t="s">
        <v>38</v>
      </c>
      <c r="J27" s="55"/>
      <c r="K27" s="55"/>
      <c r="L27" s="55"/>
      <c r="M27" s="55"/>
      <c r="N27" s="55"/>
      <c r="O27" s="54" t="s">
        <v>41</v>
      </c>
    </row>
    <row r="28" spans="1:15" x14ac:dyDescent="0.25">
      <c r="B28" s="51" t="s">
        <v>50</v>
      </c>
      <c r="C28" s="56" t="s">
        <v>52</v>
      </c>
      <c r="D28" s="57" t="s">
        <v>38</v>
      </c>
      <c r="E28" s="56" t="s">
        <v>48</v>
      </c>
      <c r="F28" s="56" t="s">
        <v>178</v>
      </c>
      <c r="G28" s="56" t="s">
        <v>168</v>
      </c>
      <c r="H28" s="56" t="s">
        <v>159</v>
      </c>
      <c r="I28" s="56" t="s">
        <v>153</v>
      </c>
      <c r="J28" s="55"/>
      <c r="K28" s="55"/>
      <c r="L28" s="55"/>
      <c r="M28" s="55"/>
      <c r="N28" s="55"/>
      <c r="O28" s="54" t="s">
        <v>41</v>
      </c>
    </row>
    <row r="29" spans="1:15" x14ac:dyDescent="0.25">
      <c r="B29" s="51" t="s">
        <v>55</v>
      </c>
      <c r="C29" s="56" t="s">
        <v>52</v>
      </c>
      <c r="D29" s="57" t="s">
        <v>38</v>
      </c>
      <c r="E29" s="56" t="s">
        <v>48</v>
      </c>
      <c r="F29" s="56" t="s">
        <v>178</v>
      </c>
      <c r="G29" s="56" t="s">
        <v>168</v>
      </c>
      <c r="H29" s="56" t="s">
        <v>159</v>
      </c>
      <c r="I29" s="56" t="s">
        <v>153</v>
      </c>
      <c r="J29" s="55"/>
      <c r="K29" s="55"/>
      <c r="L29" s="55"/>
      <c r="M29" s="55"/>
      <c r="N29" s="55"/>
      <c r="O29" s="54" t="s">
        <v>41</v>
      </c>
    </row>
    <row r="30" spans="1:15" x14ac:dyDescent="0.25">
      <c r="B30" s="51" t="s">
        <v>56</v>
      </c>
      <c r="C30" s="56" t="s">
        <v>57</v>
      </c>
      <c r="D30" s="56" t="s">
        <v>53</v>
      </c>
      <c r="E30" s="56" t="s">
        <v>54</v>
      </c>
      <c r="F30" s="56" t="s">
        <v>177</v>
      </c>
      <c r="G30" s="57" t="s">
        <v>38</v>
      </c>
      <c r="H30" s="56" t="s">
        <v>156</v>
      </c>
      <c r="I30" s="56" t="s">
        <v>150</v>
      </c>
      <c r="J30" s="55"/>
      <c r="K30" s="55"/>
      <c r="L30" s="55"/>
      <c r="M30" s="55"/>
      <c r="N30" s="55"/>
      <c r="O30" s="54" t="s">
        <v>41</v>
      </c>
    </row>
    <row r="31" spans="1:15" x14ac:dyDescent="0.25">
      <c r="B31" s="51" t="s">
        <v>59</v>
      </c>
      <c r="C31" s="56" t="s">
        <v>57</v>
      </c>
      <c r="D31" s="56" t="s">
        <v>53</v>
      </c>
      <c r="E31" s="56" t="s">
        <v>54</v>
      </c>
      <c r="F31" s="56" t="s">
        <v>177</v>
      </c>
      <c r="G31" s="57" t="s">
        <v>38</v>
      </c>
      <c r="H31" s="56" t="s">
        <v>156</v>
      </c>
      <c r="I31" s="56" t="s">
        <v>150</v>
      </c>
      <c r="J31" s="55"/>
      <c r="K31" s="55"/>
      <c r="L31" s="55"/>
      <c r="M31" s="55"/>
      <c r="N31" s="55"/>
      <c r="O31" s="54" t="s">
        <v>41</v>
      </c>
    </row>
    <row r="33" spans="1:8" x14ac:dyDescent="0.25">
      <c r="A33" s="53">
        <v>570</v>
      </c>
      <c r="B33" s="52"/>
    </row>
    <row r="34" spans="1:8" x14ac:dyDescent="0.25">
      <c r="A34" s="49" t="s">
        <v>61</v>
      </c>
      <c r="B34" s="49">
        <v>26.5</v>
      </c>
    </row>
    <row r="35" spans="1:8" x14ac:dyDescent="0.25">
      <c r="A35" s="49" t="s">
        <v>61</v>
      </c>
      <c r="B35" s="49">
        <v>26.5</v>
      </c>
    </row>
    <row r="36" spans="1:8" x14ac:dyDescent="0.25">
      <c r="A36" s="49" t="s">
        <v>61</v>
      </c>
      <c r="B36" s="49">
        <v>26.5</v>
      </c>
    </row>
    <row r="37" spans="1:8" x14ac:dyDescent="0.25">
      <c r="A37" s="49" t="s">
        <v>61</v>
      </c>
      <c r="B37" s="49">
        <v>26.5</v>
      </c>
    </row>
    <row r="38" spans="1:8" x14ac:dyDescent="0.25">
      <c r="A38" s="49" t="s">
        <v>61</v>
      </c>
      <c r="B38" s="49">
        <v>26.5</v>
      </c>
    </row>
    <row r="40" spans="1:8" x14ac:dyDescent="0.25">
      <c r="B40" s="51" t="s">
        <v>41</v>
      </c>
      <c r="C40" s="51" t="s">
        <v>62</v>
      </c>
      <c r="D40" s="51">
        <v>570</v>
      </c>
      <c r="E40" s="51" t="s">
        <v>63</v>
      </c>
      <c r="F40" s="51" t="s">
        <v>6</v>
      </c>
      <c r="G40" s="51" t="s">
        <v>64</v>
      </c>
      <c r="H40" s="51" t="s">
        <v>65</v>
      </c>
    </row>
    <row r="41" spans="1:8" x14ac:dyDescent="0.25">
      <c r="B41" s="50" t="s">
        <v>38</v>
      </c>
      <c r="C41" s="50" t="s">
        <v>66</v>
      </c>
      <c r="D41" s="50">
        <v>4.9000000000000002E-2</v>
      </c>
      <c r="E41" s="50">
        <v>8</v>
      </c>
      <c r="F41" s="50">
        <v>0.158</v>
      </c>
      <c r="G41" s="50">
        <v>0.21299999999999999</v>
      </c>
      <c r="H41" s="50">
        <v>134.86500000000001</v>
      </c>
    </row>
    <row r="42" spans="1:8" x14ac:dyDescent="0.25">
      <c r="B42" s="50"/>
      <c r="C42" s="50" t="s">
        <v>67</v>
      </c>
      <c r="D42" s="50">
        <v>4.4999999999999998E-2</v>
      </c>
      <c r="E42" s="50"/>
      <c r="F42" s="50"/>
      <c r="G42" s="50"/>
      <c r="H42" s="50"/>
    </row>
    <row r="43" spans="1:8" x14ac:dyDescent="0.25">
      <c r="B43" s="50"/>
      <c r="C43" s="50" t="s">
        <v>184</v>
      </c>
      <c r="D43" s="50">
        <v>4.5999999999999999E-2</v>
      </c>
      <c r="E43" s="50"/>
      <c r="F43" s="50"/>
      <c r="G43" s="50"/>
      <c r="H43" s="50"/>
    </row>
    <row r="44" spans="1:8" x14ac:dyDescent="0.25">
      <c r="B44" s="50"/>
      <c r="C44" s="50" t="s">
        <v>183</v>
      </c>
      <c r="D44" s="50">
        <v>4.7E-2</v>
      </c>
      <c r="E44" s="50"/>
      <c r="F44" s="50"/>
      <c r="G44" s="50"/>
      <c r="H44" s="50"/>
    </row>
    <row r="45" spans="1:8" x14ac:dyDescent="0.25">
      <c r="B45" s="50"/>
      <c r="C45" s="50" t="s">
        <v>182</v>
      </c>
      <c r="D45" s="50">
        <v>0.39400000000000002</v>
      </c>
      <c r="E45" s="50"/>
      <c r="F45" s="50"/>
      <c r="G45" s="50"/>
      <c r="H45" s="50"/>
    </row>
    <row r="46" spans="1:8" x14ac:dyDescent="0.25">
      <c r="B46" s="50"/>
      <c r="C46" s="50" t="s">
        <v>181</v>
      </c>
      <c r="D46" s="50">
        <v>0.59099999999999997</v>
      </c>
      <c r="E46" s="50"/>
      <c r="F46" s="50"/>
      <c r="G46" s="50"/>
      <c r="H46" s="50"/>
    </row>
    <row r="47" spans="1:8" x14ac:dyDescent="0.25">
      <c r="B47" s="50"/>
      <c r="C47" s="50" t="s">
        <v>70</v>
      </c>
      <c r="D47" s="50">
        <v>4.4999999999999998E-2</v>
      </c>
      <c r="E47" s="50"/>
      <c r="F47" s="50"/>
      <c r="G47" s="50"/>
      <c r="H47" s="50"/>
    </row>
    <row r="48" spans="1:8" x14ac:dyDescent="0.25">
      <c r="B48" s="50"/>
      <c r="C48" s="50" t="s">
        <v>71</v>
      </c>
      <c r="D48" s="50">
        <v>4.7E-2</v>
      </c>
      <c r="E48" s="50"/>
      <c r="F48" s="50"/>
      <c r="G48" s="50"/>
      <c r="H48" s="50"/>
    </row>
    <row r="49" spans="2:8" x14ac:dyDescent="0.25">
      <c r="B49" s="50" t="s">
        <v>46</v>
      </c>
      <c r="C49" s="50" t="s">
        <v>88</v>
      </c>
      <c r="D49" s="50">
        <v>0.30599999999999999</v>
      </c>
      <c r="E49" s="50">
        <v>2</v>
      </c>
      <c r="F49" s="50">
        <v>0.30399999999999999</v>
      </c>
      <c r="G49" s="50">
        <v>3.0000000000000001E-3</v>
      </c>
      <c r="H49" s="50">
        <v>0.93100000000000005</v>
      </c>
    </row>
    <row r="50" spans="2:8" x14ac:dyDescent="0.25">
      <c r="B50" s="50"/>
      <c r="C50" s="50" t="s">
        <v>89</v>
      </c>
      <c r="D50" s="50">
        <v>0.30199999999999999</v>
      </c>
      <c r="E50" s="50"/>
      <c r="F50" s="50"/>
      <c r="G50" s="50"/>
      <c r="H50" s="50"/>
    </row>
    <row r="51" spans="2:8" x14ac:dyDescent="0.25">
      <c r="B51" s="50" t="s">
        <v>52</v>
      </c>
      <c r="C51" s="50" t="s">
        <v>91</v>
      </c>
      <c r="D51" s="50">
        <v>0.53</v>
      </c>
      <c r="E51" s="50">
        <v>2</v>
      </c>
      <c r="F51" s="50">
        <v>0.60699999999999998</v>
      </c>
      <c r="G51" s="50">
        <v>0.109</v>
      </c>
      <c r="H51" s="50">
        <v>17.983000000000001</v>
      </c>
    </row>
    <row r="52" spans="2:8" x14ac:dyDescent="0.25">
      <c r="B52" s="50"/>
      <c r="C52" s="50" t="s">
        <v>90</v>
      </c>
      <c r="D52" s="50">
        <v>0.68400000000000005</v>
      </c>
      <c r="E52" s="50"/>
      <c r="F52" s="50"/>
      <c r="G52" s="50"/>
      <c r="H52" s="50"/>
    </row>
    <row r="53" spans="2:8" x14ac:dyDescent="0.25">
      <c r="B53" s="50" t="s">
        <v>57</v>
      </c>
      <c r="C53" s="50" t="s">
        <v>92</v>
      </c>
      <c r="D53" s="50">
        <v>0.58899999999999997</v>
      </c>
      <c r="E53" s="50">
        <v>2</v>
      </c>
      <c r="F53" s="50">
        <v>0.60899999999999999</v>
      </c>
      <c r="G53" s="50">
        <v>2.9000000000000001E-2</v>
      </c>
      <c r="H53" s="50">
        <v>4.7039999999999997</v>
      </c>
    </row>
    <row r="54" spans="2:8" x14ac:dyDescent="0.25">
      <c r="B54" s="50"/>
      <c r="C54" s="50" t="s">
        <v>93</v>
      </c>
      <c r="D54" s="50">
        <v>0.629</v>
      </c>
      <c r="E54" s="50"/>
      <c r="F54" s="50"/>
      <c r="G54" s="50"/>
      <c r="H54" s="50"/>
    </row>
    <row r="55" spans="2:8" x14ac:dyDescent="0.25">
      <c r="B55" s="50" t="s">
        <v>39</v>
      </c>
      <c r="C55" s="50" t="s">
        <v>94</v>
      </c>
      <c r="D55" s="50">
        <v>0.27200000000000002</v>
      </c>
      <c r="E55" s="50">
        <v>2</v>
      </c>
      <c r="F55" s="50">
        <v>0.247</v>
      </c>
      <c r="G55" s="50">
        <v>3.4000000000000002E-2</v>
      </c>
      <c r="H55" s="50">
        <v>13.928000000000001</v>
      </c>
    </row>
    <row r="56" spans="2:8" x14ac:dyDescent="0.25">
      <c r="B56" s="50"/>
      <c r="C56" s="50" t="s">
        <v>95</v>
      </c>
      <c r="D56" s="50">
        <v>0.223</v>
      </c>
      <c r="E56" s="50"/>
      <c r="F56" s="50"/>
      <c r="G56" s="50"/>
      <c r="H56" s="50"/>
    </row>
    <row r="57" spans="2:8" x14ac:dyDescent="0.25">
      <c r="B57" s="50" t="s">
        <v>47</v>
      </c>
      <c r="C57" s="50" t="s">
        <v>68</v>
      </c>
      <c r="D57" s="50">
        <v>0.27500000000000002</v>
      </c>
      <c r="E57" s="50">
        <v>2</v>
      </c>
      <c r="F57" s="50">
        <v>0.20100000000000001</v>
      </c>
      <c r="G57" s="50">
        <v>0.105</v>
      </c>
      <c r="H57" s="50">
        <v>52.235999999999997</v>
      </c>
    </row>
    <row r="58" spans="2:8" x14ac:dyDescent="0.25">
      <c r="B58" s="50"/>
      <c r="C58" s="50" t="s">
        <v>69</v>
      </c>
      <c r="D58" s="50">
        <v>0.127</v>
      </c>
      <c r="E58" s="50"/>
      <c r="F58" s="50"/>
      <c r="G58" s="50"/>
      <c r="H58" s="50"/>
    </row>
    <row r="59" spans="2:8" x14ac:dyDescent="0.25">
      <c r="B59" s="50" t="s">
        <v>53</v>
      </c>
      <c r="C59" s="50" t="s">
        <v>72</v>
      </c>
      <c r="D59" s="50">
        <v>0.27600000000000002</v>
      </c>
      <c r="E59" s="50">
        <v>2</v>
      </c>
      <c r="F59" s="50">
        <v>0.309</v>
      </c>
      <c r="G59" s="50">
        <v>4.5999999999999999E-2</v>
      </c>
      <c r="H59" s="50">
        <v>14.802</v>
      </c>
    </row>
    <row r="60" spans="2:8" x14ac:dyDescent="0.25">
      <c r="B60" s="50"/>
      <c r="C60" s="50" t="s">
        <v>73</v>
      </c>
      <c r="D60" s="50">
        <v>0.34100000000000003</v>
      </c>
      <c r="E60" s="50"/>
      <c r="F60" s="50"/>
      <c r="G60" s="50"/>
      <c r="H60" s="50"/>
    </row>
    <row r="61" spans="2:8" x14ac:dyDescent="0.25">
      <c r="B61" s="50" t="s">
        <v>58</v>
      </c>
      <c r="C61" s="50" t="s">
        <v>74</v>
      </c>
      <c r="D61" s="50">
        <v>0.27200000000000002</v>
      </c>
      <c r="E61" s="50">
        <v>2</v>
      </c>
      <c r="F61" s="50">
        <v>0.314</v>
      </c>
      <c r="G61" s="50">
        <v>5.8999999999999997E-2</v>
      </c>
      <c r="H61" s="50">
        <v>18.742000000000001</v>
      </c>
    </row>
    <row r="62" spans="2:8" x14ac:dyDescent="0.25">
      <c r="B62" s="50"/>
      <c r="C62" s="50" t="s">
        <v>75</v>
      </c>
      <c r="D62" s="50">
        <v>0.35499999999999998</v>
      </c>
      <c r="E62" s="50"/>
      <c r="F62" s="50"/>
      <c r="G62" s="50"/>
      <c r="H62" s="50"/>
    </row>
    <row r="63" spans="2:8" x14ac:dyDescent="0.25">
      <c r="B63" s="50" t="s">
        <v>40</v>
      </c>
      <c r="C63" s="50" t="s">
        <v>76</v>
      </c>
      <c r="D63" s="50">
        <v>0.439</v>
      </c>
      <c r="E63" s="50">
        <v>2</v>
      </c>
      <c r="F63" s="50">
        <v>0.41499999999999998</v>
      </c>
      <c r="G63" s="50">
        <v>3.4000000000000002E-2</v>
      </c>
      <c r="H63" s="50">
        <v>8.1989999999999998</v>
      </c>
    </row>
    <row r="64" spans="2:8" x14ac:dyDescent="0.25">
      <c r="B64" s="50"/>
      <c r="C64" s="50" t="s">
        <v>77</v>
      </c>
      <c r="D64" s="50">
        <v>0.39100000000000001</v>
      </c>
      <c r="E64" s="50"/>
      <c r="F64" s="50"/>
      <c r="G64" s="50"/>
      <c r="H64" s="50"/>
    </row>
    <row r="65" spans="2:8" x14ac:dyDescent="0.25">
      <c r="B65" s="50" t="s">
        <v>48</v>
      </c>
      <c r="C65" s="50" t="s">
        <v>78</v>
      </c>
      <c r="D65" s="50">
        <v>0.27400000000000002</v>
      </c>
      <c r="E65" s="50">
        <v>2</v>
      </c>
      <c r="F65" s="50">
        <v>0.28100000000000003</v>
      </c>
      <c r="G65" s="50">
        <v>1.0999999999999999E-2</v>
      </c>
      <c r="H65" s="50">
        <v>3.8210000000000002</v>
      </c>
    </row>
    <row r="66" spans="2:8" x14ac:dyDescent="0.25">
      <c r="B66" s="50"/>
      <c r="C66" s="50" t="s">
        <v>79</v>
      </c>
      <c r="D66" s="50">
        <v>0.28899999999999998</v>
      </c>
      <c r="E66" s="50"/>
      <c r="F66" s="50"/>
      <c r="G66" s="50"/>
      <c r="H66" s="50"/>
    </row>
    <row r="67" spans="2:8" x14ac:dyDescent="0.25">
      <c r="B67" s="50" t="s">
        <v>54</v>
      </c>
      <c r="C67" s="50" t="s">
        <v>80</v>
      </c>
      <c r="D67" s="50">
        <v>0.39900000000000002</v>
      </c>
      <c r="E67" s="50">
        <v>2</v>
      </c>
      <c r="F67" s="50">
        <v>0.45600000000000002</v>
      </c>
      <c r="G67" s="50">
        <v>0.08</v>
      </c>
      <c r="H67" s="50">
        <v>17.475999999999999</v>
      </c>
    </row>
    <row r="68" spans="2:8" x14ac:dyDescent="0.25">
      <c r="B68" s="50"/>
      <c r="C68" s="50" t="s">
        <v>81</v>
      </c>
      <c r="D68" s="50">
        <v>0.51200000000000001</v>
      </c>
      <c r="E68" s="50"/>
      <c r="F68" s="50"/>
      <c r="G68" s="50"/>
      <c r="H68" s="50"/>
    </row>
    <row r="69" spans="2:8" x14ac:dyDescent="0.25">
      <c r="B69" s="50" t="s">
        <v>180</v>
      </c>
      <c r="C69" s="50" t="s">
        <v>82</v>
      </c>
      <c r="D69" s="50">
        <v>0.28999999999999998</v>
      </c>
      <c r="E69" s="50">
        <v>2</v>
      </c>
      <c r="F69" s="50">
        <v>0.29499999999999998</v>
      </c>
      <c r="G69" s="50">
        <v>7.0000000000000001E-3</v>
      </c>
      <c r="H69" s="50">
        <v>2.2989999999999999</v>
      </c>
    </row>
    <row r="70" spans="2:8" x14ac:dyDescent="0.25">
      <c r="B70" s="50"/>
      <c r="C70" s="50" t="s">
        <v>83</v>
      </c>
      <c r="D70" s="50">
        <v>0.3</v>
      </c>
      <c r="E70" s="50"/>
      <c r="F70" s="50"/>
      <c r="G70" s="50"/>
      <c r="H70" s="50"/>
    </row>
    <row r="71" spans="2:8" x14ac:dyDescent="0.25">
      <c r="B71" s="50" t="s">
        <v>179</v>
      </c>
      <c r="C71" s="50" t="s">
        <v>84</v>
      </c>
      <c r="D71" s="50">
        <v>0.40799999999999997</v>
      </c>
      <c r="E71" s="50">
        <v>2</v>
      </c>
      <c r="F71" s="50">
        <v>0.40500000000000003</v>
      </c>
      <c r="G71" s="50">
        <v>5.0000000000000001E-3</v>
      </c>
      <c r="H71" s="50">
        <v>1.2929999999999999</v>
      </c>
    </row>
    <row r="72" spans="2:8" x14ac:dyDescent="0.25">
      <c r="B72" s="50"/>
      <c r="C72" s="50" t="s">
        <v>85</v>
      </c>
      <c r="D72" s="50">
        <v>0.40100000000000002</v>
      </c>
      <c r="E72" s="50"/>
      <c r="F72" s="50"/>
      <c r="G72" s="50"/>
      <c r="H72" s="50"/>
    </row>
    <row r="73" spans="2:8" x14ac:dyDescent="0.25">
      <c r="B73" s="50" t="s">
        <v>178</v>
      </c>
      <c r="C73" s="50" t="s">
        <v>86</v>
      </c>
      <c r="D73" s="50">
        <v>0.39600000000000002</v>
      </c>
      <c r="E73" s="50">
        <v>2</v>
      </c>
      <c r="F73" s="50">
        <v>0.47699999999999998</v>
      </c>
      <c r="G73" s="50">
        <v>0.11600000000000001</v>
      </c>
      <c r="H73" s="50">
        <v>24.244</v>
      </c>
    </row>
    <row r="74" spans="2:8" x14ac:dyDescent="0.25">
      <c r="B74" s="50"/>
      <c r="C74" s="50" t="s">
        <v>87</v>
      </c>
      <c r="D74" s="50">
        <v>0.55900000000000005</v>
      </c>
      <c r="E74" s="50"/>
      <c r="F74" s="50"/>
      <c r="G74" s="50"/>
      <c r="H74" s="50"/>
    </row>
    <row r="75" spans="2:8" x14ac:dyDescent="0.25">
      <c r="B75" s="50" t="s">
        <v>177</v>
      </c>
      <c r="C75" s="50" t="s">
        <v>176</v>
      </c>
      <c r="D75" s="50">
        <v>0.29599999999999999</v>
      </c>
      <c r="E75" s="50">
        <v>2</v>
      </c>
      <c r="F75" s="50">
        <v>0.30599999999999999</v>
      </c>
      <c r="G75" s="50">
        <v>1.4E-2</v>
      </c>
      <c r="H75" s="50">
        <v>4.5309999999999997</v>
      </c>
    </row>
    <row r="76" spans="2:8" x14ac:dyDescent="0.25">
      <c r="B76" s="50"/>
      <c r="C76" s="50" t="s">
        <v>175</v>
      </c>
      <c r="D76" s="50">
        <v>0.316</v>
      </c>
      <c r="E76" s="50"/>
      <c r="F76" s="50"/>
      <c r="G76" s="50"/>
      <c r="H76" s="50"/>
    </row>
    <row r="77" spans="2:8" x14ac:dyDescent="0.25">
      <c r="B77" s="50" t="s">
        <v>174</v>
      </c>
      <c r="C77" s="50" t="s">
        <v>173</v>
      </c>
      <c r="D77" s="50">
        <v>0.54100000000000004</v>
      </c>
      <c r="E77" s="50">
        <v>2</v>
      </c>
      <c r="F77" s="50">
        <v>0.55500000000000005</v>
      </c>
      <c r="G77" s="50">
        <v>0.02</v>
      </c>
      <c r="H77" s="50">
        <v>3.629</v>
      </c>
    </row>
    <row r="78" spans="2:8" x14ac:dyDescent="0.25">
      <c r="B78" s="50"/>
      <c r="C78" s="50" t="s">
        <v>172</v>
      </c>
      <c r="D78" s="50">
        <v>0.56999999999999995</v>
      </c>
      <c r="E78" s="50"/>
      <c r="F78" s="50"/>
      <c r="G78" s="50"/>
      <c r="H78" s="50"/>
    </row>
    <row r="79" spans="2:8" x14ac:dyDescent="0.25">
      <c r="B79" s="50" t="s">
        <v>171</v>
      </c>
      <c r="C79" s="50" t="s">
        <v>170</v>
      </c>
      <c r="D79" s="50">
        <v>0.34200000000000003</v>
      </c>
      <c r="E79" s="50">
        <v>2</v>
      </c>
      <c r="F79" s="50">
        <v>0.35699999999999998</v>
      </c>
      <c r="G79" s="50">
        <v>2.1000000000000001E-2</v>
      </c>
      <c r="H79" s="50">
        <v>5.9370000000000003</v>
      </c>
    </row>
    <row r="80" spans="2:8" x14ac:dyDescent="0.25">
      <c r="B80" s="50"/>
      <c r="C80" s="50" t="s">
        <v>169</v>
      </c>
      <c r="D80" s="50">
        <v>0.372</v>
      </c>
      <c r="E80" s="50"/>
      <c r="F80" s="50"/>
      <c r="G80" s="50"/>
      <c r="H80" s="50"/>
    </row>
    <row r="81" spans="1:8" x14ac:dyDescent="0.25">
      <c r="B81" s="50" t="s">
        <v>168</v>
      </c>
      <c r="C81" s="50" t="s">
        <v>167</v>
      </c>
      <c r="D81" s="50">
        <v>0.376</v>
      </c>
      <c r="E81" s="50">
        <v>2</v>
      </c>
      <c r="F81" s="50">
        <v>0.36499999999999999</v>
      </c>
      <c r="G81" s="50">
        <v>1.6E-2</v>
      </c>
      <c r="H81" s="50">
        <v>4.3639999999999999</v>
      </c>
    </row>
    <row r="82" spans="1:8" x14ac:dyDescent="0.25">
      <c r="B82" s="50"/>
      <c r="C82" s="50" t="s">
        <v>166</v>
      </c>
      <c r="D82" s="50">
        <v>0.35299999999999998</v>
      </c>
      <c r="E82" s="50"/>
      <c r="F82" s="50"/>
      <c r="G82" s="50"/>
      <c r="H82" s="50"/>
    </row>
    <row r="83" spans="1:8" x14ac:dyDescent="0.25">
      <c r="B83" s="50" t="s">
        <v>165</v>
      </c>
      <c r="C83" s="50" t="s">
        <v>164</v>
      </c>
      <c r="D83" s="50">
        <v>0.20100000000000001</v>
      </c>
      <c r="E83" s="50">
        <v>2</v>
      </c>
      <c r="F83" s="50">
        <v>0.20399999999999999</v>
      </c>
      <c r="G83" s="50">
        <v>5.0000000000000001E-3</v>
      </c>
      <c r="H83" s="50">
        <v>2.5249999999999999</v>
      </c>
    </row>
    <row r="84" spans="1:8" x14ac:dyDescent="0.25">
      <c r="B84" s="50"/>
      <c r="C84" s="50" t="s">
        <v>163</v>
      </c>
      <c r="D84" s="50">
        <v>0.20799999999999999</v>
      </c>
      <c r="E84" s="50"/>
      <c r="F84" s="50"/>
      <c r="G84" s="50"/>
      <c r="H84" s="50"/>
    </row>
    <row r="85" spans="1:8" x14ac:dyDescent="0.25">
      <c r="B85" s="50" t="s">
        <v>162</v>
      </c>
      <c r="C85" s="50" t="s">
        <v>161</v>
      </c>
      <c r="D85" s="50">
        <v>0.26500000000000001</v>
      </c>
      <c r="E85" s="50">
        <v>2</v>
      </c>
      <c r="F85" s="50">
        <v>0.316</v>
      </c>
      <c r="G85" s="50">
        <v>7.1999999999999995E-2</v>
      </c>
      <c r="H85" s="50">
        <v>22.94</v>
      </c>
    </row>
    <row r="86" spans="1:8" x14ac:dyDescent="0.25">
      <c r="B86" s="50"/>
      <c r="C86" s="50" t="s">
        <v>160</v>
      </c>
      <c r="D86" s="50">
        <v>0.36699999999999999</v>
      </c>
      <c r="E86" s="50"/>
      <c r="F86" s="50"/>
      <c r="G86" s="50"/>
      <c r="H86" s="50"/>
    </row>
    <row r="87" spans="1:8" x14ac:dyDescent="0.25">
      <c r="B87" s="50" t="s">
        <v>159</v>
      </c>
      <c r="C87" s="50" t="s">
        <v>158</v>
      </c>
      <c r="D87" s="50">
        <v>0.222</v>
      </c>
      <c r="E87" s="50">
        <v>2</v>
      </c>
      <c r="F87" s="50">
        <v>0.23599999999999999</v>
      </c>
      <c r="G87" s="50">
        <v>2.1000000000000001E-2</v>
      </c>
      <c r="H87" s="50">
        <v>8.8580000000000005</v>
      </c>
    </row>
    <row r="88" spans="1:8" x14ac:dyDescent="0.25">
      <c r="B88" s="50"/>
      <c r="C88" s="50" t="s">
        <v>157</v>
      </c>
      <c r="D88" s="50">
        <v>0.251</v>
      </c>
      <c r="E88" s="50"/>
      <c r="F88" s="50"/>
      <c r="G88" s="50"/>
      <c r="H88" s="50"/>
    </row>
    <row r="89" spans="1:8" x14ac:dyDescent="0.25">
      <c r="B89" s="50" t="s">
        <v>156</v>
      </c>
      <c r="C89" s="50" t="s">
        <v>155</v>
      </c>
      <c r="D89" s="50">
        <v>4.9000000000000002E-2</v>
      </c>
      <c r="E89" s="50">
        <v>2</v>
      </c>
      <c r="F89" s="50">
        <v>4.7E-2</v>
      </c>
      <c r="G89" s="50">
        <v>2E-3</v>
      </c>
      <c r="H89" s="50">
        <v>4.3579999999999997</v>
      </c>
    </row>
    <row r="90" spans="1:8" x14ac:dyDescent="0.25">
      <c r="B90" s="50"/>
      <c r="C90" s="50" t="s">
        <v>154</v>
      </c>
      <c r="D90" s="50">
        <v>4.5999999999999999E-2</v>
      </c>
      <c r="E90" s="50"/>
      <c r="F90" s="50"/>
      <c r="G90" s="50"/>
      <c r="H90" s="50"/>
    </row>
    <row r="91" spans="1:8" x14ac:dyDescent="0.25">
      <c r="B91" s="50" t="s">
        <v>153</v>
      </c>
      <c r="C91" s="50" t="s">
        <v>152</v>
      </c>
      <c r="D91" s="50">
        <v>0.309</v>
      </c>
      <c r="E91" s="50">
        <v>2</v>
      </c>
      <c r="F91" s="50">
        <v>0.33100000000000002</v>
      </c>
      <c r="G91" s="50">
        <v>0.03</v>
      </c>
      <c r="H91" s="50">
        <v>9.1769999999999996</v>
      </c>
    </row>
    <row r="92" spans="1:8" x14ac:dyDescent="0.25">
      <c r="B92" s="50"/>
      <c r="C92" s="50" t="s">
        <v>151</v>
      </c>
      <c r="D92" s="50">
        <v>0.35199999999999998</v>
      </c>
      <c r="E92" s="50"/>
      <c r="F92" s="50"/>
      <c r="G92" s="50"/>
      <c r="H92" s="50"/>
    </row>
    <row r="93" spans="1:8" x14ac:dyDescent="0.25">
      <c r="B93" s="50" t="s">
        <v>150</v>
      </c>
      <c r="C93" s="50" t="s">
        <v>149</v>
      </c>
      <c r="D93" s="50">
        <v>0.23499999999999999</v>
      </c>
      <c r="E93" s="50">
        <v>2</v>
      </c>
      <c r="F93" s="50">
        <v>0.254</v>
      </c>
      <c r="G93" s="50">
        <v>2.8000000000000001E-2</v>
      </c>
      <c r="H93" s="50">
        <v>10.843999999999999</v>
      </c>
    </row>
    <row r="94" spans="1:8" x14ac:dyDescent="0.25">
      <c r="B94" s="50"/>
      <c r="C94" s="50" t="s">
        <v>148</v>
      </c>
      <c r="D94" s="50">
        <v>0.27400000000000002</v>
      </c>
      <c r="E94" s="50"/>
      <c r="F94" s="50"/>
      <c r="G94" s="50"/>
      <c r="H94" s="50"/>
    </row>
    <row r="96" spans="1:8" x14ac:dyDescent="0.25">
      <c r="A96" s="53" t="s">
        <v>118</v>
      </c>
      <c r="B96" s="52"/>
    </row>
    <row r="97" spans="1:9" x14ac:dyDescent="0.25">
      <c r="A97" s="49" t="s">
        <v>61</v>
      </c>
      <c r="B97" s="49">
        <v>26.5</v>
      </c>
    </row>
    <row r="99" spans="1:9" x14ac:dyDescent="0.25">
      <c r="B99" s="51" t="s">
        <v>41</v>
      </c>
      <c r="C99" s="51" t="s">
        <v>62</v>
      </c>
      <c r="D99" s="51">
        <v>570</v>
      </c>
      <c r="E99" s="51" t="s">
        <v>118</v>
      </c>
      <c r="F99" s="51" t="s">
        <v>63</v>
      </c>
      <c r="G99" s="51" t="s">
        <v>6</v>
      </c>
      <c r="H99" s="51" t="s">
        <v>64</v>
      </c>
      <c r="I99" s="51" t="s">
        <v>65</v>
      </c>
    </row>
    <row r="100" spans="1:9" x14ac:dyDescent="0.25">
      <c r="B100" s="50" t="s">
        <v>38</v>
      </c>
      <c r="C100" s="50" t="s">
        <v>66</v>
      </c>
      <c r="D100" s="50">
        <v>4.9000000000000002E-2</v>
      </c>
      <c r="E100" s="50">
        <v>-0.109</v>
      </c>
      <c r="F100" s="50">
        <v>8</v>
      </c>
      <c r="G100" s="50">
        <v>0</v>
      </c>
      <c r="H100" s="50">
        <v>0.21299999999999999</v>
      </c>
      <c r="I100" s="50">
        <v>-3.0692084117811999E+18</v>
      </c>
    </row>
    <row r="101" spans="1:9" x14ac:dyDescent="0.25">
      <c r="B101" s="50"/>
      <c r="C101" s="50" t="s">
        <v>67</v>
      </c>
      <c r="D101" s="50">
        <v>4.4999999999999998E-2</v>
      </c>
      <c r="E101" s="50">
        <v>-0.113</v>
      </c>
      <c r="F101" s="50"/>
      <c r="G101" s="50"/>
      <c r="H101" s="50"/>
      <c r="I101" s="50"/>
    </row>
    <row r="102" spans="1:9" x14ac:dyDescent="0.25">
      <c r="B102" s="50"/>
      <c r="C102" s="50" t="s">
        <v>184</v>
      </c>
      <c r="D102" s="50">
        <v>4.5999999999999999E-2</v>
      </c>
      <c r="E102" s="50">
        <v>-0.112</v>
      </c>
      <c r="F102" s="50"/>
      <c r="G102" s="50"/>
      <c r="H102" s="50"/>
      <c r="I102" s="50"/>
    </row>
    <row r="103" spans="1:9" x14ac:dyDescent="0.25">
      <c r="B103" s="50"/>
      <c r="C103" s="50" t="s">
        <v>183</v>
      </c>
      <c r="D103" s="50">
        <v>4.7E-2</v>
      </c>
      <c r="E103" s="50">
        <v>-0.111</v>
      </c>
      <c r="F103" s="50"/>
      <c r="G103" s="50"/>
      <c r="H103" s="50"/>
      <c r="I103" s="50"/>
    </row>
    <row r="104" spans="1:9" x14ac:dyDescent="0.25">
      <c r="B104" s="50"/>
      <c r="C104" s="50" t="s">
        <v>182</v>
      </c>
      <c r="D104" s="50">
        <v>0.39400000000000002</v>
      </c>
      <c r="E104" s="50">
        <v>0.23599999999999999</v>
      </c>
      <c r="F104" s="50"/>
      <c r="G104" s="50"/>
      <c r="H104" s="50"/>
      <c r="I104" s="50"/>
    </row>
    <row r="105" spans="1:9" x14ac:dyDescent="0.25">
      <c r="B105" s="50"/>
      <c r="C105" s="50" t="s">
        <v>181</v>
      </c>
      <c r="D105" s="50">
        <v>0.59099999999999997</v>
      </c>
      <c r="E105" s="50">
        <v>0.433</v>
      </c>
      <c r="F105" s="50"/>
      <c r="G105" s="50"/>
      <c r="H105" s="50"/>
      <c r="I105" s="50"/>
    </row>
    <row r="106" spans="1:9" x14ac:dyDescent="0.25">
      <c r="B106" s="50"/>
      <c r="C106" s="50" t="s">
        <v>70</v>
      </c>
      <c r="D106" s="50">
        <v>4.4999999999999998E-2</v>
      </c>
      <c r="E106" s="50">
        <v>-0.113</v>
      </c>
      <c r="F106" s="50"/>
      <c r="G106" s="50"/>
      <c r="H106" s="50"/>
      <c r="I106" s="50"/>
    </row>
    <row r="107" spans="1:9" x14ac:dyDescent="0.25">
      <c r="B107" s="50"/>
      <c r="C107" s="50" t="s">
        <v>71</v>
      </c>
      <c r="D107" s="50">
        <v>4.7E-2</v>
      </c>
      <c r="E107" s="50">
        <v>-0.111</v>
      </c>
      <c r="F107" s="50"/>
      <c r="G107" s="50"/>
      <c r="H107" s="50"/>
      <c r="I107" s="50"/>
    </row>
    <row r="108" spans="1:9" x14ac:dyDescent="0.25">
      <c r="B108" s="50" t="s">
        <v>46</v>
      </c>
      <c r="C108" s="50" t="s">
        <v>88</v>
      </c>
      <c r="D108" s="50">
        <v>0.30599999999999999</v>
      </c>
      <c r="E108" s="50">
        <v>0.14799999999999999</v>
      </c>
      <c r="F108" s="50">
        <v>2</v>
      </c>
      <c r="G108" s="50">
        <v>0.14599999999999999</v>
      </c>
      <c r="H108" s="50">
        <v>3.0000000000000001E-3</v>
      </c>
      <c r="I108" s="50">
        <v>1.9390000000000001</v>
      </c>
    </row>
    <row r="109" spans="1:9" x14ac:dyDescent="0.25">
      <c r="B109" s="50"/>
      <c r="C109" s="50" t="s">
        <v>89</v>
      </c>
      <c r="D109" s="50">
        <v>0.30199999999999999</v>
      </c>
      <c r="E109" s="50">
        <v>0.14399999999999999</v>
      </c>
      <c r="F109" s="50"/>
      <c r="G109" s="50"/>
      <c r="H109" s="50"/>
      <c r="I109" s="50"/>
    </row>
    <row r="110" spans="1:9" x14ac:dyDescent="0.25">
      <c r="B110" s="50" t="s">
        <v>52</v>
      </c>
      <c r="C110" s="50" t="s">
        <v>91</v>
      </c>
      <c r="D110" s="50">
        <v>0.53</v>
      </c>
      <c r="E110" s="50">
        <v>0.372</v>
      </c>
      <c r="F110" s="50">
        <v>2</v>
      </c>
      <c r="G110" s="50">
        <v>0.44900000000000001</v>
      </c>
      <c r="H110" s="50">
        <v>0.109</v>
      </c>
      <c r="I110" s="50">
        <v>24.306000000000001</v>
      </c>
    </row>
    <row r="111" spans="1:9" x14ac:dyDescent="0.25">
      <c r="B111" s="50"/>
      <c r="C111" s="50" t="s">
        <v>90</v>
      </c>
      <c r="D111" s="50">
        <v>0.68400000000000005</v>
      </c>
      <c r="E111" s="50">
        <v>0.52600000000000002</v>
      </c>
      <c r="F111" s="50"/>
      <c r="G111" s="50"/>
      <c r="H111" s="50"/>
      <c r="I111" s="50"/>
    </row>
    <row r="112" spans="1:9" x14ac:dyDescent="0.25">
      <c r="B112" s="50" t="s">
        <v>57</v>
      </c>
      <c r="C112" s="50" t="s">
        <v>92</v>
      </c>
      <c r="D112" s="50">
        <v>0.58899999999999997</v>
      </c>
      <c r="E112" s="50">
        <v>0.43099999999999999</v>
      </c>
      <c r="F112" s="50">
        <v>2</v>
      </c>
      <c r="G112" s="50">
        <v>0.45100000000000001</v>
      </c>
      <c r="H112" s="50">
        <v>2.9000000000000001E-2</v>
      </c>
      <c r="I112" s="50">
        <v>6.351</v>
      </c>
    </row>
    <row r="113" spans="2:9" x14ac:dyDescent="0.25">
      <c r="B113" s="50"/>
      <c r="C113" s="50" t="s">
        <v>93</v>
      </c>
      <c r="D113" s="50">
        <v>0.629</v>
      </c>
      <c r="E113" s="50">
        <v>0.47099999999999997</v>
      </c>
      <c r="F113" s="50"/>
      <c r="G113" s="50"/>
      <c r="H113" s="50"/>
      <c r="I113" s="50"/>
    </row>
    <row r="114" spans="2:9" x14ac:dyDescent="0.25">
      <c r="B114" s="50" t="s">
        <v>39</v>
      </c>
      <c r="C114" s="50" t="s">
        <v>94</v>
      </c>
      <c r="D114" s="50">
        <v>0.27200000000000002</v>
      </c>
      <c r="E114" s="50">
        <v>0.114</v>
      </c>
      <c r="F114" s="50">
        <v>2</v>
      </c>
      <c r="G114" s="50">
        <v>8.8999999999999996E-2</v>
      </c>
      <c r="H114" s="50">
        <v>3.4000000000000002E-2</v>
      </c>
      <c r="I114" s="50">
        <v>38.545999999999999</v>
      </c>
    </row>
    <row r="115" spans="2:9" x14ac:dyDescent="0.25">
      <c r="B115" s="50"/>
      <c r="C115" s="50" t="s">
        <v>95</v>
      </c>
      <c r="D115" s="50">
        <v>0.223</v>
      </c>
      <c r="E115" s="50">
        <v>6.5000000000000002E-2</v>
      </c>
      <c r="F115" s="50"/>
      <c r="G115" s="50"/>
      <c r="H115" s="50"/>
      <c r="I115" s="50"/>
    </row>
    <row r="116" spans="2:9" x14ac:dyDescent="0.25">
      <c r="B116" s="50" t="s">
        <v>47</v>
      </c>
      <c r="C116" s="50" t="s">
        <v>68</v>
      </c>
      <c r="D116" s="50">
        <v>0.27500000000000002</v>
      </c>
      <c r="E116" s="50">
        <v>0.11700000000000001</v>
      </c>
      <c r="F116" s="50">
        <v>2</v>
      </c>
      <c r="G116" s="50">
        <v>4.2999999999999997E-2</v>
      </c>
      <c r="H116" s="50">
        <v>0.105</v>
      </c>
      <c r="I116" s="50">
        <v>244.79499999999999</v>
      </c>
    </row>
    <row r="117" spans="2:9" x14ac:dyDescent="0.25">
      <c r="B117" s="50"/>
      <c r="C117" s="50" t="s">
        <v>69</v>
      </c>
      <c r="D117" s="50">
        <v>0.127</v>
      </c>
      <c r="E117" s="50">
        <v>-3.1E-2</v>
      </c>
      <c r="F117" s="50"/>
      <c r="G117" s="50"/>
      <c r="H117" s="50"/>
      <c r="I117" s="50"/>
    </row>
    <row r="118" spans="2:9" x14ac:dyDescent="0.25">
      <c r="B118" s="50" t="s">
        <v>53</v>
      </c>
      <c r="C118" s="50" t="s">
        <v>72</v>
      </c>
      <c r="D118" s="50">
        <v>0.27600000000000002</v>
      </c>
      <c r="E118" s="50">
        <v>0.11799999999999999</v>
      </c>
      <c r="F118" s="50">
        <v>2</v>
      </c>
      <c r="G118" s="50">
        <v>0.151</v>
      </c>
      <c r="H118" s="50">
        <v>4.5999999999999999E-2</v>
      </c>
      <c r="I118" s="50">
        <v>30.314</v>
      </c>
    </row>
    <row r="119" spans="2:9" x14ac:dyDescent="0.25">
      <c r="B119" s="50"/>
      <c r="C119" s="50" t="s">
        <v>73</v>
      </c>
      <c r="D119" s="50">
        <v>0.34100000000000003</v>
      </c>
      <c r="E119" s="50">
        <v>0.183</v>
      </c>
      <c r="F119" s="50"/>
      <c r="G119" s="50"/>
      <c r="H119" s="50"/>
      <c r="I119" s="50"/>
    </row>
    <row r="120" spans="2:9" x14ac:dyDescent="0.25">
      <c r="B120" s="50" t="s">
        <v>58</v>
      </c>
      <c r="C120" s="50" t="s">
        <v>74</v>
      </c>
      <c r="D120" s="50">
        <v>0.27200000000000002</v>
      </c>
      <c r="E120" s="50">
        <v>0.114</v>
      </c>
      <c r="F120" s="50">
        <v>2</v>
      </c>
      <c r="G120" s="50">
        <v>0.156</v>
      </c>
      <c r="H120" s="50">
        <v>5.8999999999999997E-2</v>
      </c>
      <c r="I120" s="50">
        <v>37.715000000000003</v>
      </c>
    </row>
    <row r="121" spans="2:9" x14ac:dyDescent="0.25">
      <c r="B121" s="50"/>
      <c r="C121" s="50" t="s">
        <v>75</v>
      </c>
      <c r="D121" s="50">
        <v>0.35499999999999998</v>
      </c>
      <c r="E121" s="50">
        <v>0.19800000000000001</v>
      </c>
      <c r="F121" s="50"/>
      <c r="G121" s="50"/>
      <c r="H121" s="50"/>
      <c r="I121" s="50"/>
    </row>
    <row r="122" spans="2:9" x14ac:dyDescent="0.25">
      <c r="B122" s="50" t="s">
        <v>40</v>
      </c>
      <c r="C122" s="50" t="s">
        <v>76</v>
      </c>
      <c r="D122" s="50">
        <v>0.439</v>
      </c>
      <c r="E122" s="50">
        <v>0.28100000000000003</v>
      </c>
      <c r="F122" s="50">
        <v>2</v>
      </c>
      <c r="G122" s="50">
        <v>0.25700000000000001</v>
      </c>
      <c r="H122" s="50">
        <v>3.4000000000000002E-2</v>
      </c>
      <c r="I122" s="50">
        <v>13.237</v>
      </c>
    </row>
    <row r="123" spans="2:9" x14ac:dyDescent="0.25">
      <c r="B123" s="50"/>
      <c r="C123" s="50" t="s">
        <v>77</v>
      </c>
      <c r="D123" s="50">
        <v>0.39100000000000001</v>
      </c>
      <c r="E123" s="50">
        <v>0.23300000000000001</v>
      </c>
      <c r="F123" s="50"/>
      <c r="G123" s="50"/>
      <c r="H123" s="50"/>
      <c r="I123" s="50"/>
    </row>
    <row r="124" spans="2:9" x14ac:dyDescent="0.25">
      <c r="B124" s="50" t="s">
        <v>48</v>
      </c>
      <c r="C124" s="50" t="s">
        <v>78</v>
      </c>
      <c r="D124" s="50">
        <v>0.27400000000000002</v>
      </c>
      <c r="E124" s="50">
        <v>0.11600000000000001</v>
      </c>
      <c r="F124" s="50">
        <v>2</v>
      </c>
      <c r="G124" s="50">
        <v>0.123</v>
      </c>
      <c r="H124" s="50">
        <v>1.0999999999999999E-2</v>
      </c>
      <c r="I124" s="50">
        <v>8.7110000000000003</v>
      </c>
    </row>
    <row r="125" spans="2:9" x14ac:dyDescent="0.25">
      <c r="B125" s="50"/>
      <c r="C125" s="50" t="s">
        <v>79</v>
      </c>
      <c r="D125" s="50">
        <v>0.28899999999999998</v>
      </c>
      <c r="E125" s="50">
        <v>0.13100000000000001</v>
      </c>
      <c r="F125" s="50"/>
      <c r="G125" s="50"/>
      <c r="H125" s="50"/>
      <c r="I125" s="50"/>
    </row>
    <row r="126" spans="2:9" x14ac:dyDescent="0.25">
      <c r="B126" s="50" t="s">
        <v>54</v>
      </c>
      <c r="C126" s="50" t="s">
        <v>80</v>
      </c>
      <c r="D126" s="50">
        <v>0.39900000000000002</v>
      </c>
      <c r="E126" s="50">
        <v>0.24099999999999999</v>
      </c>
      <c r="F126" s="50">
        <v>2</v>
      </c>
      <c r="G126" s="50">
        <v>0.29799999999999999</v>
      </c>
      <c r="H126" s="50">
        <v>0.08</v>
      </c>
      <c r="I126" s="50">
        <v>26.745999999999999</v>
      </c>
    </row>
    <row r="127" spans="2:9" x14ac:dyDescent="0.25">
      <c r="B127" s="50"/>
      <c r="C127" s="50" t="s">
        <v>81</v>
      </c>
      <c r="D127" s="50">
        <v>0.51200000000000001</v>
      </c>
      <c r="E127" s="50">
        <v>0.35399999999999998</v>
      </c>
      <c r="F127" s="50"/>
      <c r="G127" s="50"/>
      <c r="H127" s="50"/>
      <c r="I127" s="50"/>
    </row>
    <row r="128" spans="2:9" x14ac:dyDescent="0.25">
      <c r="B128" s="50" t="s">
        <v>180</v>
      </c>
      <c r="C128" s="50" t="s">
        <v>82</v>
      </c>
      <c r="D128" s="50">
        <v>0.28999999999999998</v>
      </c>
      <c r="E128" s="50">
        <v>0.13300000000000001</v>
      </c>
      <c r="F128" s="50">
        <v>2</v>
      </c>
      <c r="G128" s="50">
        <v>0.13700000000000001</v>
      </c>
      <c r="H128" s="50">
        <v>7.0000000000000001E-3</v>
      </c>
      <c r="I128" s="50">
        <v>4.9409999999999998</v>
      </c>
    </row>
    <row r="129" spans="2:9" x14ac:dyDescent="0.25">
      <c r="B129" s="50"/>
      <c r="C129" s="50" t="s">
        <v>83</v>
      </c>
      <c r="D129" s="50">
        <v>0.3</v>
      </c>
      <c r="E129" s="50">
        <v>0.14199999999999999</v>
      </c>
      <c r="F129" s="50"/>
      <c r="G129" s="50"/>
      <c r="H129" s="50"/>
      <c r="I129" s="50"/>
    </row>
    <row r="130" spans="2:9" x14ac:dyDescent="0.25">
      <c r="B130" s="50" t="s">
        <v>179</v>
      </c>
      <c r="C130" s="50" t="s">
        <v>84</v>
      </c>
      <c r="D130" s="50">
        <v>0.40799999999999997</v>
      </c>
      <c r="E130" s="50">
        <v>0.25</v>
      </c>
      <c r="F130" s="50">
        <v>2</v>
      </c>
      <c r="G130" s="50">
        <v>0.247</v>
      </c>
      <c r="H130" s="50">
        <v>5.0000000000000001E-3</v>
      </c>
      <c r="I130" s="50">
        <v>2.121</v>
      </c>
    </row>
    <row r="131" spans="2:9" x14ac:dyDescent="0.25">
      <c r="B131" s="50"/>
      <c r="C131" s="50" t="s">
        <v>85</v>
      </c>
      <c r="D131" s="50">
        <v>0.40100000000000002</v>
      </c>
      <c r="E131" s="50">
        <v>0.24299999999999999</v>
      </c>
      <c r="F131" s="50"/>
      <c r="G131" s="50"/>
      <c r="H131" s="50"/>
      <c r="I131" s="50"/>
    </row>
    <row r="132" spans="2:9" x14ac:dyDescent="0.25">
      <c r="B132" s="50" t="s">
        <v>178</v>
      </c>
      <c r="C132" s="50" t="s">
        <v>86</v>
      </c>
      <c r="D132" s="50">
        <v>0.39600000000000002</v>
      </c>
      <c r="E132" s="50">
        <v>0.23799999999999999</v>
      </c>
      <c r="F132" s="50">
        <v>2</v>
      </c>
      <c r="G132" s="50">
        <v>0.32</v>
      </c>
      <c r="H132" s="50">
        <v>0.11600000000000001</v>
      </c>
      <c r="I132" s="50">
        <v>36.225000000000001</v>
      </c>
    </row>
    <row r="133" spans="2:9" x14ac:dyDescent="0.25">
      <c r="B133" s="50"/>
      <c r="C133" s="50" t="s">
        <v>87</v>
      </c>
      <c r="D133" s="50">
        <v>0.55900000000000005</v>
      </c>
      <c r="E133" s="50">
        <v>0.40100000000000002</v>
      </c>
      <c r="F133" s="50"/>
      <c r="G133" s="50"/>
      <c r="H133" s="50"/>
      <c r="I133" s="50"/>
    </row>
    <row r="134" spans="2:9" x14ac:dyDescent="0.25">
      <c r="B134" s="50" t="s">
        <v>177</v>
      </c>
      <c r="C134" s="50" t="s">
        <v>176</v>
      </c>
      <c r="D134" s="50">
        <v>0.29599999999999999</v>
      </c>
      <c r="E134" s="50">
        <v>0.13800000000000001</v>
      </c>
      <c r="F134" s="50">
        <v>2</v>
      </c>
      <c r="G134" s="50">
        <v>0.14799999999999999</v>
      </c>
      <c r="H134" s="50">
        <v>1.4E-2</v>
      </c>
      <c r="I134" s="50">
        <v>9.3650000000000002</v>
      </c>
    </row>
    <row r="135" spans="2:9" x14ac:dyDescent="0.25">
      <c r="B135" s="50"/>
      <c r="C135" s="50" t="s">
        <v>175</v>
      </c>
      <c r="D135" s="50">
        <v>0.316</v>
      </c>
      <c r="E135" s="50">
        <v>0.158</v>
      </c>
      <c r="F135" s="50"/>
      <c r="G135" s="50"/>
      <c r="H135" s="50"/>
      <c r="I135" s="50"/>
    </row>
    <row r="136" spans="2:9" x14ac:dyDescent="0.25">
      <c r="B136" s="50" t="s">
        <v>174</v>
      </c>
      <c r="C136" s="50" t="s">
        <v>173</v>
      </c>
      <c r="D136" s="50">
        <v>0.54100000000000004</v>
      </c>
      <c r="E136" s="50">
        <v>0.38300000000000001</v>
      </c>
      <c r="F136" s="50">
        <v>2</v>
      </c>
      <c r="G136" s="50">
        <v>0.39700000000000002</v>
      </c>
      <c r="H136" s="50">
        <v>0.02</v>
      </c>
      <c r="I136" s="50">
        <v>5.0720000000000001</v>
      </c>
    </row>
    <row r="137" spans="2:9" x14ac:dyDescent="0.25">
      <c r="B137" s="50"/>
      <c r="C137" s="50" t="s">
        <v>172</v>
      </c>
      <c r="D137" s="50">
        <v>0.56999999999999995</v>
      </c>
      <c r="E137" s="50">
        <v>0.41199999999999998</v>
      </c>
      <c r="F137" s="50"/>
      <c r="G137" s="50"/>
      <c r="H137" s="50"/>
      <c r="I137" s="50"/>
    </row>
    <row r="138" spans="2:9" x14ac:dyDescent="0.25">
      <c r="B138" s="50" t="s">
        <v>171</v>
      </c>
      <c r="C138" s="50" t="s">
        <v>170</v>
      </c>
      <c r="D138" s="50">
        <v>0.34200000000000003</v>
      </c>
      <c r="E138" s="50">
        <v>0.184</v>
      </c>
      <c r="F138" s="50">
        <v>2</v>
      </c>
      <c r="G138" s="50">
        <v>0.19900000000000001</v>
      </c>
      <c r="H138" s="50">
        <v>2.1000000000000001E-2</v>
      </c>
      <c r="I138" s="50">
        <v>10.638999999999999</v>
      </c>
    </row>
    <row r="139" spans="2:9" x14ac:dyDescent="0.25">
      <c r="B139" s="50"/>
      <c r="C139" s="50" t="s">
        <v>169</v>
      </c>
      <c r="D139" s="50">
        <v>0.372</v>
      </c>
      <c r="E139" s="50">
        <v>0.214</v>
      </c>
      <c r="F139" s="50"/>
      <c r="G139" s="50"/>
      <c r="H139" s="50"/>
      <c r="I139" s="50"/>
    </row>
    <row r="140" spans="2:9" x14ac:dyDescent="0.25">
      <c r="B140" s="50" t="s">
        <v>168</v>
      </c>
      <c r="C140" s="50" t="s">
        <v>167</v>
      </c>
      <c r="D140" s="50">
        <v>0.376</v>
      </c>
      <c r="E140" s="50">
        <v>0.218</v>
      </c>
      <c r="F140" s="50">
        <v>2</v>
      </c>
      <c r="G140" s="50">
        <v>0.20699999999999999</v>
      </c>
      <c r="H140" s="50">
        <v>1.6E-2</v>
      </c>
      <c r="I140" s="50">
        <v>7.6989999999999998</v>
      </c>
    </row>
    <row r="141" spans="2:9" x14ac:dyDescent="0.25">
      <c r="B141" s="50"/>
      <c r="C141" s="50" t="s">
        <v>166</v>
      </c>
      <c r="D141" s="50">
        <v>0.35299999999999998</v>
      </c>
      <c r="E141" s="50">
        <v>0.19500000000000001</v>
      </c>
      <c r="F141" s="50"/>
      <c r="G141" s="50"/>
      <c r="H141" s="50"/>
      <c r="I141" s="50"/>
    </row>
    <row r="142" spans="2:9" x14ac:dyDescent="0.25">
      <c r="B142" s="50" t="s">
        <v>165</v>
      </c>
      <c r="C142" s="50" t="s">
        <v>164</v>
      </c>
      <c r="D142" s="50">
        <v>0.20100000000000001</v>
      </c>
      <c r="E142" s="50">
        <v>4.2999999999999997E-2</v>
      </c>
      <c r="F142" s="50">
        <v>2</v>
      </c>
      <c r="G142" s="50">
        <v>4.7E-2</v>
      </c>
      <c r="H142" s="50">
        <v>5.0000000000000001E-3</v>
      </c>
      <c r="I142" s="50">
        <v>11.092000000000001</v>
      </c>
    </row>
    <row r="143" spans="2:9" x14ac:dyDescent="0.25">
      <c r="B143" s="50"/>
      <c r="C143" s="50" t="s">
        <v>163</v>
      </c>
      <c r="D143" s="50">
        <v>0.20799999999999999</v>
      </c>
      <c r="E143" s="50">
        <v>0.05</v>
      </c>
      <c r="F143" s="50"/>
      <c r="G143" s="50"/>
      <c r="H143" s="50"/>
      <c r="I143" s="50"/>
    </row>
    <row r="144" spans="2:9" x14ac:dyDescent="0.25">
      <c r="B144" s="50" t="s">
        <v>162</v>
      </c>
      <c r="C144" s="50" t="s">
        <v>161</v>
      </c>
      <c r="D144" s="50">
        <v>0.26500000000000001</v>
      </c>
      <c r="E144" s="50">
        <v>0.107</v>
      </c>
      <c r="F144" s="50">
        <v>2</v>
      </c>
      <c r="G144" s="50">
        <v>0.158</v>
      </c>
      <c r="H144" s="50">
        <v>7.1999999999999995E-2</v>
      </c>
      <c r="I144" s="50">
        <v>45.862000000000002</v>
      </c>
    </row>
    <row r="145" spans="1:9" x14ac:dyDescent="0.25">
      <c r="B145" s="50"/>
      <c r="C145" s="50" t="s">
        <v>160</v>
      </c>
      <c r="D145" s="50">
        <v>0.36699999999999999</v>
      </c>
      <c r="E145" s="50">
        <v>0.20899999999999999</v>
      </c>
      <c r="F145" s="50"/>
      <c r="G145" s="50"/>
      <c r="H145" s="50"/>
      <c r="I145" s="50"/>
    </row>
    <row r="146" spans="1:9" x14ac:dyDescent="0.25">
      <c r="B146" s="50" t="s">
        <v>159</v>
      </c>
      <c r="C146" s="50" t="s">
        <v>158</v>
      </c>
      <c r="D146" s="50">
        <v>0.222</v>
      </c>
      <c r="E146" s="50">
        <v>6.4000000000000001E-2</v>
      </c>
      <c r="F146" s="50">
        <v>2</v>
      </c>
      <c r="G146" s="50">
        <v>7.8E-2</v>
      </c>
      <c r="H146" s="50">
        <v>2.1000000000000001E-2</v>
      </c>
      <c r="I146" s="50">
        <v>26.701000000000001</v>
      </c>
    </row>
    <row r="147" spans="1:9" x14ac:dyDescent="0.25">
      <c r="B147" s="50"/>
      <c r="C147" s="50" t="s">
        <v>157</v>
      </c>
      <c r="D147" s="50">
        <v>0.251</v>
      </c>
      <c r="E147" s="50">
        <v>9.2999999999999999E-2</v>
      </c>
      <c r="F147" s="50"/>
      <c r="G147" s="50"/>
      <c r="H147" s="50"/>
      <c r="I147" s="50"/>
    </row>
    <row r="148" spans="1:9" x14ac:dyDescent="0.25">
      <c r="B148" s="50" t="s">
        <v>156</v>
      </c>
      <c r="C148" s="50" t="s">
        <v>155</v>
      </c>
      <c r="D148" s="50">
        <v>4.9000000000000002E-2</v>
      </c>
      <c r="E148" s="50">
        <v>-0.109</v>
      </c>
      <c r="F148" s="50">
        <v>2</v>
      </c>
      <c r="G148" s="50">
        <v>-0.111</v>
      </c>
      <c r="H148" s="50">
        <v>2E-3</v>
      </c>
      <c r="I148" s="50">
        <v>-1.85</v>
      </c>
    </row>
    <row r="149" spans="1:9" x14ac:dyDescent="0.25">
      <c r="B149" s="50"/>
      <c r="C149" s="50" t="s">
        <v>154</v>
      </c>
      <c r="D149" s="50">
        <v>4.5999999999999999E-2</v>
      </c>
      <c r="E149" s="50">
        <v>-0.112</v>
      </c>
      <c r="F149" s="50"/>
      <c r="G149" s="50"/>
      <c r="H149" s="50"/>
      <c r="I149" s="50"/>
    </row>
    <row r="150" spans="1:9" x14ac:dyDescent="0.25">
      <c r="B150" s="50" t="s">
        <v>153</v>
      </c>
      <c r="C150" s="50" t="s">
        <v>152</v>
      </c>
      <c r="D150" s="50">
        <v>0.309</v>
      </c>
      <c r="E150" s="50">
        <v>0.151</v>
      </c>
      <c r="F150" s="50">
        <v>2</v>
      </c>
      <c r="G150" s="50">
        <v>0.17299999999999999</v>
      </c>
      <c r="H150" s="50">
        <v>0.03</v>
      </c>
      <c r="I150" s="50">
        <v>17.571000000000002</v>
      </c>
    </row>
    <row r="151" spans="1:9" x14ac:dyDescent="0.25">
      <c r="B151" s="50"/>
      <c r="C151" s="50" t="s">
        <v>151</v>
      </c>
      <c r="D151" s="50">
        <v>0.35199999999999998</v>
      </c>
      <c r="E151" s="50">
        <v>0.19400000000000001</v>
      </c>
      <c r="F151" s="50"/>
      <c r="G151" s="50"/>
      <c r="H151" s="50"/>
      <c r="I151" s="50"/>
    </row>
    <row r="152" spans="1:9" x14ac:dyDescent="0.25">
      <c r="B152" s="50" t="s">
        <v>150</v>
      </c>
      <c r="C152" s="50" t="s">
        <v>149</v>
      </c>
      <c r="D152" s="50">
        <v>0.23499999999999999</v>
      </c>
      <c r="E152" s="50">
        <v>7.6999999999999999E-2</v>
      </c>
      <c r="F152" s="50">
        <v>2</v>
      </c>
      <c r="G152" s="50">
        <v>9.6000000000000002E-2</v>
      </c>
      <c r="H152" s="50">
        <v>2.8000000000000001E-2</v>
      </c>
      <c r="I152" s="50">
        <v>28.611000000000001</v>
      </c>
    </row>
    <row r="153" spans="1:9" x14ac:dyDescent="0.25">
      <c r="B153" s="50"/>
      <c r="C153" s="50" t="s">
        <v>148</v>
      </c>
      <c r="D153" s="50">
        <v>0.27400000000000002</v>
      </c>
      <c r="E153" s="50">
        <v>0.11600000000000001</v>
      </c>
      <c r="F153" s="50"/>
      <c r="G153" s="50"/>
      <c r="H153" s="50"/>
      <c r="I153" s="50"/>
    </row>
    <row r="155" spans="1:9" x14ac:dyDescent="0.25">
      <c r="A155" s="53" t="s">
        <v>187</v>
      </c>
      <c r="B155" s="52"/>
    </row>
    <row r="190" spans="1:7" ht="26.4" x14ac:dyDescent="0.25">
      <c r="A190" s="53" t="s">
        <v>192</v>
      </c>
      <c r="B190" s="52"/>
    </row>
    <row r="192" spans="1:7" ht="26.4" x14ac:dyDescent="0.25">
      <c r="B192" s="51" t="s">
        <v>191</v>
      </c>
      <c r="C192" s="51" t="s">
        <v>190</v>
      </c>
      <c r="D192" s="51" t="s">
        <v>37</v>
      </c>
      <c r="E192" s="51" t="s">
        <v>43</v>
      </c>
      <c r="F192" s="51" t="s">
        <v>189</v>
      </c>
      <c r="G192" s="51" t="s">
        <v>188</v>
      </c>
    </row>
    <row r="193" spans="1:9" x14ac:dyDescent="0.25">
      <c r="B193" s="50" t="s">
        <v>187</v>
      </c>
      <c r="C193" s="50" t="s">
        <v>186</v>
      </c>
      <c r="D193" s="50" t="e">
        <v>#N/A</v>
      </c>
      <c r="E193" s="50" t="e">
        <v>#N/A</v>
      </c>
      <c r="F193" s="50" t="e">
        <v>#N/A</v>
      </c>
      <c r="G193" s="50" t="e">
        <v>#N/A</v>
      </c>
    </row>
    <row r="195" spans="1:9" x14ac:dyDescent="0.25">
      <c r="A195" s="53" t="s">
        <v>185</v>
      </c>
      <c r="B195" s="52"/>
    </row>
    <row r="197" spans="1:9" ht="26.4" x14ac:dyDescent="0.25">
      <c r="B197" s="51" t="s">
        <v>41</v>
      </c>
      <c r="C197" s="51" t="s">
        <v>62</v>
      </c>
      <c r="D197" s="51" t="s">
        <v>118</v>
      </c>
      <c r="E197" s="51" t="s">
        <v>185</v>
      </c>
      <c r="F197" s="51" t="s">
        <v>63</v>
      </c>
      <c r="G197" s="51" t="s">
        <v>6</v>
      </c>
      <c r="H197" s="51" t="s">
        <v>64</v>
      </c>
      <c r="I197" s="51" t="s">
        <v>65</v>
      </c>
    </row>
    <row r="198" spans="1:9" x14ac:dyDescent="0.25">
      <c r="B198" s="50" t="s">
        <v>38</v>
      </c>
      <c r="C198" s="50" t="s">
        <v>66</v>
      </c>
      <c r="D198" s="50">
        <v>-0.109</v>
      </c>
      <c r="E198" s="50" t="e">
        <v>#N/A</v>
      </c>
      <c r="F198" s="50" t="e">
        <v>#N/A</v>
      </c>
      <c r="G198" s="50" t="e">
        <v>#N/A</v>
      </c>
      <c r="H198" s="50" t="e">
        <v>#N/A</v>
      </c>
      <c r="I198" s="50" t="e">
        <v>#N/A</v>
      </c>
    </row>
    <row r="199" spans="1:9" x14ac:dyDescent="0.25">
      <c r="B199" s="50"/>
      <c r="C199" s="50" t="s">
        <v>67</v>
      </c>
      <c r="D199" s="50">
        <v>-0.113</v>
      </c>
      <c r="E199" s="50" t="e">
        <v>#N/A</v>
      </c>
      <c r="F199" s="50" t="e">
        <v>#N/A</v>
      </c>
      <c r="G199" s="50" t="e">
        <v>#N/A</v>
      </c>
      <c r="H199" s="50" t="e">
        <v>#N/A</v>
      </c>
      <c r="I199" s="50" t="e">
        <v>#N/A</v>
      </c>
    </row>
    <row r="200" spans="1:9" x14ac:dyDescent="0.25">
      <c r="B200" s="50"/>
      <c r="C200" s="50" t="s">
        <v>184</v>
      </c>
      <c r="D200" s="50">
        <v>-0.112</v>
      </c>
      <c r="E200" s="50" t="e">
        <v>#N/A</v>
      </c>
      <c r="F200" s="50" t="e">
        <v>#N/A</v>
      </c>
      <c r="G200" s="50" t="e">
        <v>#N/A</v>
      </c>
      <c r="H200" s="50" t="e">
        <v>#N/A</v>
      </c>
      <c r="I200" s="50" t="e">
        <v>#N/A</v>
      </c>
    </row>
    <row r="201" spans="1:9" x14ac:dyDescent="0.25">
      <c r="B201" s="50"/>
      <c r="C201" s="50" t="s">
        <v>183</v>
      </c>
      <c r="D201" s="50">
        <v>-0.111</v>
      </c>
      <c r="E201" s="50" t="e">
        <v>#N/A</v>
      </c>
      <c r="F201" s="50" t="e">
        <v>#N/A</v>
      </c>
      <c r="G201" s="50" t="e">
        <v>#N/A</v>
      </c>
      <c r="H201" s="50" t="e">
        <v>#N/A</v>
      </c>
      <c r="I201" s="50" t="e">
        <v>#N/A</v>
      </c>
    </row>
    <row r="202" spans="1:9" x14ac:dyDescent="0.25">
      <c r="B202" s="50"/>
      <c r="C202" s="50" t="s">
        <v>182</v>
      </c>
      <c r="D202" s="50">
        <v>0.23599999999999999</v>
      </c>
      <c r="E202" s="50" t="e">
        <v>#N/A</v>
      </c>
      <c r="F202" s="50" t="e">
        <v>#N/A</v>
      </c>
      <c r="G202" s="50" t="e">
        <v>#N/A</v>
      </c>
      <c r="H202" s="50" t="e">
        <v>#N/A</v>
      </c>
      <c r="I202" s="50" t="e">
        <v>#N/A</v>
      </c>
    </row>
    <row r="203" spans="1:9" x14ac:dyDescent="0.25">
      <c r="B203" s="50"/>
      <c r="C203" s="50" t="s">
        <v>181</v>
      </c>
      <c r="D203" s="50">
        <v>0.433</v>
      </c>
      <c r="E203" s="50" t="e">
        <v>#N/A</v>
      </c>
      <c r="F203" s="50" t="e">
        <v>#N/A</v>
      </c>
      <c r="G203" s="50" t="e">
        <v>#N/A</v>
      </c>
      <c r="H203" s="50" t="e">
        <v>#N/A</v>
      </c>
      <c r="I203" s="50" t="e">
        <v>#N/A</v>
      </c>
    </row>
    <row r="204" spans="1:9" x14ac:dyDescent="0.25">
      <c r="B204" s="50"/>
      <c r="C204" s="50" t="s">
        <v>70</v>
      </c>
      <c r="D204" s="50">
        <v>-0.113</v>
      </c>
      <c r="E204" s="50" t="e">
        <v>#N/A</v>
      </c>
      <c r="F204" s="50" t="e">
        <v>#N/A</v>
      </c>
      <c r="G204" s="50" t="e">
        <v>#N/A</v>
      </c>
      <c r="H204" s="50" t="e">
        <v>#N/A</v>
      </c>
      <c r="I204" s="50" t="e">
        <v>#N/A</v>
      </c>
    </row>
    <row r="205" spans="1:9" x14ac:dyDescent="0.25">
      <c r="B205" s="50"/>
      <c r="C205" s="50" t="s">
        <v>71</v>
      </c>
      <c r="D205" s="50">
        <v>-0.111</v>
      </c>
      <c r="E205" s="50" t="e">
        <v>#N/A</v>
      </c>
      <c r="F205" s="50" t="e">
        <v>#N/A</v>
      </c>
      <c r="G205" s="50" t="e">
        <v>#N/A</v>
      </c>
      <c r="H205" s="50" t="e">
        <v>#N/A</v>
      </c>
      <c r="I205" s="50" t="e">
        <v>#N/A</v>
      </c>
    </row>
    <row r="206" spans="1:9" x14ac:dyDescent="0.25">
      <c r="B206" s="50" t="s">
        <v>46</v>
      </c>
      <c r="C206" s="50" t="s">
        <v>88</v>
      </c>
      <c r="D206" s="50">
        <v>0.14799999999999999</v>
      </c>
      <c r="E206" s="50" t="e">
        <v>#N/A</v>
      </c>
      <c r="F206" s="50" t="e">
        <v>#N/A</v>
      </c>
      <c r="G206" s="50" t="e">
        <v>#N/A</v>
      </c>
      <c r="H206" s="50" t="e">
        <v>#N/A</v>
      </c>
      <c r="I206" s="50" t="e">
        <v>#N/A</v>
      </c>
    </row>
    <row r="207" spans="1:9" x14ac:dyDescent="0.25">
      <c r="B207" s="50"/>
      <c r="C207" s="50" t="s">
        <v>89</v>
      </c>
      <c r="D207" s="50">
        <v>0.14399999999999999</v>
      </c>
      <c r="E207" s="50" t="e">
        <v>#N/A</v>
      </c>
      <c r="F207" s="50" t="e">
        <v>#N/A</v>
      </c>
      <c r="G207" s="50" t="e">
        <v>#N/A</v>
      </c>
      <c r="H207" s="50" t="e">
        <v>#N/A</v>
      </c>
      <c r="I207" s="50" t="e">
        <v>#N/A</v>
      </c>
    </row>
    <row r="208" spans="1:9" x14ac:dyDescent="0.25">
      <c r="B208" s="50" t="s">
        <v>52</v>
      </c>
      <c r="C208" s="50" t="s">
        <v>91</v>
      </c>
      <c r="D208" s="50">
        <v>0.372</v>
      </c>
      <c r="E208" s="50" t="e">
        <v>#N/A</v>
      </c>
      <c r="F208" s="50" t="e">
        <v>#N/A</v>
      </c>
      <c r="G208" s="50" t="e">
        <v>#N/A</v>
      </c>
      <c r="H208" s="50" t="e">
        <v>#N/A</v>
      </c>
      <c r="I208" s="50" t="e">
        <v>#N/A</v>
      </c>
    </row>
    <row r="209" spans="2:9" x14ac:dyDescent="0.25">
      <c r="B209" s="50"/>
      <c r="C209" s="50" t="s">
        <v>90</v>
      </c>
      <c r="D209" s="50">
        <v>0.52600000000000002</v>
      </c>
      <c r="E209" s="50" t="e">
        <v>#N/A</v>
      </c>
      <c r="F209" s="50" t="e">
        <v>#N/A</v>
      </c>
      <c r="G209" s="50" t="e">
        <v>#N/A</v>
      </c>
      <c r="H209" s="50" t="e">
        <v>#N/A</v>
      </c>
      <c r="I209" s="50" t="e">
        <v>#N/A</v>
      </c>
    </row>
    <row r="210" spans="2:9" x14ac:dyDescent="0.25">
      <c r="B210" s="50" t="s">
        <v>57</v>
      </c>
      <c r="C210" s="50" t="s">
        <v>92</v>
      </c>
      <c r="D210" s="50">
        <v>0.43099999999999999</v>
      </c>
      <c r="E210" s="50" t="e">
        <v>#N/A</v>
      </c>
      <c r="F210" s="50" t="e">
        <v>#N/A</v>
      </c>
      <c r="G210" s="50" t="e">
        <v>#N/A</v>
      </c>
      <c r="H210" s="50" t="e">
        <v>#N/A</v>
      </c>
      <c r="I210" s="50" t="e">
        <v>#N/A</v>
      </c>
    </row>
    <row r="211" spans="2:9" x14ac:dyDescent="0.25">
      <c r="B211" s="50"/>
      <c r="C211" s="50" t="s">
        <v>93</v>
      </c>
      <c r="D211" s="50">
        <v>0.47099999999999997</v>
      </c>
      <c r="E211" s="50" t="e">
        <v>#N/A</v>
      </c>
      <c r="F211" s="50" t="e">
        <v>#N/A</v>
      </c>
      <c r="G211" s="50" t="e">
        <v>#N/A</v>
      </c>
      <c r="H211" s="50" t="e">
        <v>#N/A</v>
      </c>
      <c r="I211" s="50" t="e">
        <v>#N/A</v>
      </c>
    </row>
    <row r="212" spans="2:9" x14ac:dyDescent="0.25">
      <c r="B212" s="50" t="s">
        <v>39</v>
      </c>
      <c r="C212" s="50" t="s">
        <v>94</v>
      </c>
      <c r="D212" s="50">
        <v>0.114</v>
      </c>
      <c r="E212" s="50" t="e">
        <v>#N/A</v>
      </c>
      <c r="F212" s="50" t="e">
        <v>#N/A</v>
      </c>
      <c r="G212" s="50" t="e">
        <v>#N/A</v>
      </c>
      <c r="H212" s="50" t="e">
        <v>#N/A</v>
      </c>
      <c r="I212" s="50" t="e">
        <v>#N/A</v>
      </c>
    </row>
    <row r="213" spans="2:9" x14ac:dyDescent="0.25">
      <c r="B213" s="50"/>
      <c r="C213" s="50" t="s">
        <v>95</v>
      </c>
      <c r="D213" s="50">
        <v>6.5000000000000002E-2</v>
      </c>
      <c r="E213" s="50" t="e">
        <v>#N/A</v>
      </c>
      <c r="F213" s="50" t="e">
        <v>#N/A</v>
      </c>
      <c r="G213" s="50" t="e">
        <v>#N/A</v>
      </c>
      <c r="H213" s="50" t="e">
        <v>#N/A</v>
      </c>
      <c r="I213" s="50" t="e">
        <v>#N/A</v>
      </c>
    </row>
    <row r="214" spans="2:9" x14ac:dyDescent="0.25">
      <c r="B214" s="50" t="s">
        <v>47</v>
      </c>
      <c r="C214" s="50" t="s">
        <v>68</v>
      </c>
      <c r="D214" s="50">
        <v>0.11700000000000001</v>
      </c>
      <c r="E214" s="50" t="e">
        <v>#N/A</v>
      </c>
      <c r="F214" s="50" t="e">
        <v>#N/A</v>
      </c>
      <c r="G214" s="50" t="e">
        <v>#N/A</v>
      </c>
      <c r="H214" s="50" t="e">
        <v>#N/A</v>
      </c>
      <c r="I214" s="50" t="e">
        <v>#N/A</v>
      </c>
    </row>
    <row r="215" spans="2:9" x14ac:dyDescent="0.25">
      <c r="B215" s="50"/>
      <c r="C215" s="50" t="s">
        <v>69</v>
      </c>
      <c r="D215" s="50">
        <v>-3.1E-2</v>
      </c>
      <c r="E215" s="50" t="e">
        <v>#N/A</v>
      </c>
      <c r="F215" s="50" t="e">
        <v>#N/A</v>
      </c>
      <c r="G215" s="50" t="e">
        <v>#N/A</v>
      </c>
      <c r="H215" s="50" t="e">
        <v>#N/A</v>
      </c>
      <c r="I215" s="50" t="e">
        <v>#N/A</v>
      </c>
    </row>
    <row r="216" spans="2:9" x14ac:dyDescent="0.25">
      <c r="B216" s="50" t="s">
        <v>53</v>
      </c>
      <c r="C216" s="50" t="s">
        <v>72</v>
      </c>
      <c r="D216" s="50">
        <v>0.11799999999999999</v>
      </c>
      <c r="E216" s="50" t="e">
        <v>#N/A</v>
      </c>
      <c r="F216" s="50" t="e">
        <v>#N/A</v>
      </c>
      <c r="G216" s="50" t="e">
        <v>#N/A</v>
      </c>
      <c r="H216" s="50" t="e">
        <v>#N/A</v>
      </c>
      <c r="I216" s="50" t="e">
        <v>#N/A</v>
      </c>
    </row>
    <row r="217" spans="2:9" x14ac:dyDescent="0.25">
      <c r="B217" s="50"/>
      <c r="C217" s="50" t="s">
        <v>73</v>
      </c>
      <c r="D217" s="50">
        <v>0.183</v>
      </c>
      <c r="E217" s="50" t="e">
        <v>#N/A</v>
      </c>
      <c r="F217" s="50" t="e">
        <v>#N/A</v>
      </c>
      <c r="G217" s="50" t="e">
        <v>#N/A</v>
      </c>
      <c r="H217" s="50" t="e">
        <v>#N/A</v>
      </c>
      <c r="I217" s="50" t="e">
        <v>#N/A</v>
      </c>
    </row>
    <row r="218" spans="2:9" x14ac:dyDescent="0.25">
      <c r="B218" s="50" t="s">
        <v>58</v>
      </c>
      <c r="C218" s="50" t="s">
        <v>74</v>
      </c>
      <c r="D218" s="50">
        <v>0.114</v>
      </c>
      <c r="E218" s="50" t="e">
        <v>#N/A</v>
      </c>
      <c r="F218" s="50" t="e">
        <v>#N/A</v>
      </c>
      <c r="G218" s="50" t="e">
        <v>#N/A</v>
      </c>
      <c r="H218" s="50" t="e">
        <v>#N/A</v>
      </c>
      <c r="I218" s="50" t="e">
        <v>#N/A</v>
      </c>
    </row>
    <row r="219" spans="2:9" x14ac:dyDescent="0.25">
      <c r="B219" s="50"/>
      <c r="C219" s="50" t="s">
        <v>75</v>
      </c>
      <c r="D219" s="50">
        <v>0.19800000000000001</v>
      </c>
      <c r="E219" s="50" t="e">
        <v>#N/A</v>
      </c>
      <c r="F219" s="50" t="e">
        <v>#N/A</v>
      </c>
      <c r="G219" s="50" t="e">
        <v>#N/A</v>
      </c>
      <c r="H219" s="50" t="e">
        <v>#N/A</v>
      </c>
      <c r="I219" s="50" t="e">
        <v>#N/A</v>
      </c>
    </row>
    <row r="220" spans="2:9" x14ac:dyDescent="0.25">
      <c r="B220" s="50" t="s">
        <v>40</v>
      </c>
      <c r="C220" s="50" t="s">
        <v>76</v>
      </c>
      <c r="D220" s="50">
        <v>0.28100000000000003</v>
      </c>
      <c r="E220" s="50" t="e">
        <v>#N/A</v>
      </c>
      <c r="F220" s="50" t="e">
        <v>#N/A</v>
      </c>
      <c r="G220" s="50" t="e">
        <v>#N/A</v>
      </c>
      <c r="H220" s="50" t="e">
        <v>#N/A</v>
      </c>
      <c r="I220" s="50" t="e">
        <v>#N/A</v>
      </c>
    </row>
    <row r="221" spans="2:9" x14ac:dyDescent="0.25">
      <c r="B221" s="50"/>
      <c r="C221" s="50" t="s">
        <v>77</v>
      </c>
      <c r="D221" s="50">
        <v>0.23300000000000001</v>
      </c>
      <c r="E221" s="50" t="e">
        <v>#N/A</v>
      </c>
      <c r="F221" s="50" t="e">
        <v>#N/A</v>
      </c>
      <c r="G221" s="50" t="e">
        <v>#N/A</v>
      </c>
      <c r="H221" s="50" t="e">
        <v>#N/A</v>
      </c>
      <c r="I221" s="50" t="e">
        <v>#N/A</v>
      </c>
    </row>
    <row r="222" spans="2:9" x14ac:dyDescent="0.25">
      <c r="B222" s="50" t="s">
        <v>48</v>
      </c>
      <c r="C222" s="50" t="s">
        <v>78</v>
      </c>
      <c r="D222" s="50">
        <v>0.11600000000000001</v>
      </c>
      <c r="E222" s="50" t="e">
        <v>#N/A</v>
      </c>
      <c r="F222" s="50" t="e">
        <v>#N/A</v>
      </c>
      <c r="G222" s="50" t="e">
        <v>#N/A</v>
      </c>
      <c r="H222" s="50" t="e">
        <v>#N/A</v>
      </c>
      <c r="I222" s="50" t="e">
        <v>#N/A</v>
      </c>
    </row>
    <row r="223" spans="2:9" x14ac:dyDescent="0.25">
      <c r="B223" s="50"/>
      <c r="C223" s="50" t="s">
        <v>79</v>
      </c>
      <c r="D223" s="50">
        <v>0.13100000000000001</v>
      </c>
      <c r="E223" s="50" t="e">
        <v>#N/A</v>
      </c>
      <c r="F223" s="50" t="e">
        <v>#N/A</v>
      </c>
      <c r="G223" s="50" t="e">
        <v>#N/A</v>
      </c>
      <c r="H223" s="50" t="e">
        <v>#N/A</v>
      </c>
      <c r="I223" s="50" t="e">
        <v>#N/A</v>
      </c>
    </row>
    <row r="224" spans="2:9" x14ac:dyDescent="0.25">
      <c r="B224" s="50" t="s">
        <v>54</v>
      </c>
      <c r="C224" s="50" t="s">
        <v>80</v>
      </c>
      <c r="D224" s="50">
        <v>0.24099999999999999</v>
      </c>
      <c r="E224" s="50" t="e">
        <v>#N/A</v>
      </c>
      <c r="F224" s="50" t="e">
        <v>#N/A</v>
      </c>
      <c r="G224" s="50" t="e">
        <v>#N/A</v>
      </c>
      <c r="H224" s="50" t="e">
        <v>#N/A</v>
      </c>
      <c r="I224" s="50" t="e">
        <v>#N/A</v>
      </c>
    </row>
    <row r="225" spans="2:9" x14ac:dyDescent="0.25">
      <c r="B225" s="50"/>
      <c r="C225" s="50" t="s">
        <v>81</v>
      </c>
      <c r="D225" s="50">
        <v>0.35399999999999998</v>
      </c>
      <c r="E225" s="50" t="e">
        <v>#N/A</v>
      </c>
      <c r="F225" s="50" t="e">
        <v>#N/A</v>
      </c>
      <c r="G225" s="50" t="e">
        <v>#N/A</v>
      </c>
      <c r="H225" s="50" t="e">
        <v>#N/A</v>
      </c>
      <c r="I225" s="50" t="e">
        <v>#N/A</v>
      </c>
    </row>
    <row r="226" spans="2:9" x14ac:dyDescent="0.25">
      <c r="B226" s="50" t="s">
        <v>180</v>
      </c>
      <c r="C226" s="50" t="s">
        <v>82</v>
      </c>
      <c r="D226" s="50">
        <v>0.13300000000000001</v>
      </c>
      <c r="E226" s="50" t="e">
        <v>#N/A</v>
      </c>
      <c r="F226" s="50" t="e">
        <v>#N/A</v>
      </c>
      <c r="G226" s="50" t="e">
        <v>#N/A</v>
      </c>
      <c r="H226" s="50" t="e">
        <v>#N/A</v>
      </c>
      <c r="I226" s="50" t="e">
        <v>#N/A</v>
      </c>
    </row>
    <row r="227" spans="2:9" x14ac:dyDescent="0.25">
      <c r="B227" s="50"/>
      <c r="C227" s="50" t="s">
        <v>83</v>
      </c>
      <c r="D227" s="50">
        <v>0.14199999999999999</v>
      </c>
      <c r="E227" s="50" t="e">
        <v>#N/A</v>
      </c>
      <c r="F227" s="50" t="e">
        <v>#N/A</v>
      </c>
      <c r="G227" s="50" t="e">
        <v>#N/A</v>
      </c>
      <c r="H227" s="50" t="e">
        <v>#N/A</v>
      </c>
      <c r="I227" s="50" t="e">
        <v>#N/A</v>
      </c>
    </row>
    <row r="228" spans="2:9" x14ac:dyDescent="0.25">
      <c r="B228" s="50" t="s">
        <v>179</v>
      </c>
      <c r="C228" s="50" t="s">
        <v>84</v>
      </c>
      <c r="D228" s="50">
        <v>0.25</v>
      </c>
      <c r="E228" s="50" t="e">
        <v>#N/A</v>
      </c>
      <c r="F228" s="50" t="e">
        <v>#N/A</v>
      </c>
      <c r="G228" s="50" t="e">
        <v>#N/A</v>
      </c>
      <c r="H228" s="50" t="e">
        <v>#N/A</v>
      </c>
      <c r="I228" s="50" t="e">
        <v>#N/A</v>
      </c>
    </row>
    <row r="229" spans="2:9" x14ac:dyDescent="0.25">
      <c r="B229" s="50"/>
      <c r="C229" s="50" t="s">
        <v>85</v>
      </c>
      <c r="D229" s="50">
        <v>0.24299999999999999</v>
      </c>
      <c r="E229" s="50" t="e">
        <v>#N/A</v>
      </c>
      <c r="F229" s="50" t="e">
        <v>#N/A</v>
      </c>
      <c r="G229" s="50" t="e">
        <v>#N/A</v>
      </c>
      <c r="H229" s="50" t="e">
        <v>#N/A</v>
      </c>
      <c r="I229" s="50" t="e">
        <v>#N/A</v>
      </c>
    </row>
    <row r="230" spans="2:9" x14ac:dyDescent="0.25">
      <c r="B230" s="50" t="s">
        <v>178</v>
      </c>
      <c r="C230" s="50" t="s">
        <v>86</v>
      </c>
      <c r="D230" s="50">
        <v>0.23799999999999999</v>
      </c>
      <c r="E230" s="50" t="e">
        <v>#N/A</v>
      </c>
      <c r="F230" s="50" t="e">
        <v>#N/A</v>
      </c>
      <c r="G230" s="50" t="e">
        <v>#N/A</v>
      </c>
      <c r="H230" s="50" t="e">
        <v>#N/A</v>
      </c>
      <c r="I230" s="50" t="e">
        <v>#N/A</v>
      </c>
    </row>
    <row r="231" spans="2:9" x14ac:dyDescent="0.25">
      <c r="B231" s="50"/>
      <c r="C231" s="50" t="s">
        <v>87</v>
      </c>
      <c r="D231" s="50">
        <v>0.40100000000000002</v>
      </c>
      <c r="E231" s="50" t="e">
        <v>#N/A</v>
      </c>
      <c r="F231" s="50" t="e">
        <v>#N/A</v>
      </c>
      <c r="G231" s="50" t="e">
        <v>#N/A</v>
      </c>
      <c r="H231" s="50" t="e">
        <v>#N/A</v>
      </c>
      <c r="I231" s="50" t="e">
        <v>#N/A</v>
      </c>
    </row>
    <row r="232" spans="2:9" x14ac:dyDescent="0.25">
      <c r="B232" s="50" t="s">
        <v>177</v>
      </c>
      <c r="C232" s="50" t="s">
        <v>176</v>
      </c>
      <c r="D232" s="50">
        <v>0.13800000000000001</v>
      </c>
      <c r="E232" s="50" t="e">
        <v>#N/A</v>
      </c>
      <c r="F232" s="50" t="e">
        <v>#N/A</v>
      </c>
      <c r="G232" s="50" t="e">
        <v>#N/A</v>
      </c>
      <c r="H232" s="50" t="e">
        <v>#N/A</v>
      </c>
      <c r="I232" s="50" t="e">
        <v>#N/A</v>
      </c>
    </row>
    <row r="233" spans="2:9" x14ac:dyDescent="0.25">
      <c r="B233" s="50"/>
      <c r="C233" s="50" t="s">
        <v>175</v>
      </c>
      <c r="D233" s="50">
        <v>0.158</v>
      </c>
      <c r="E233" s="50" t="e">
        <v>#N/A</v>
      </c>
      <c r="F233" s="50" t="e">
        <v>#N/A</v>
      </c>
      <c r="G233" s="50" t="e">
        <v>#N/A</v>
      </c>
      <c r="H233" s="50" t="e">
        <v>#N/A</v>
      </c>
      <c r="I233" s="50" t="e">
        <v>#N/A</v>
      </c>
    </row>
    <row r="234" spans="2:9" x14ac:dyDescent="0.25">
      <c r="B234" s="50" t="s">
        <v>174</v>
      </c>
      <c r="C234" s="50" t="s">
        <v>173</v>
      </c>
      <c r="D234" s="50">
        <v>0.38300000000000001</v>
      </c>
      <c r="E234" s="50" t="e">
        <v>#N/A</v>
      </c>
      <c r="F234" s="50" t="e">
        <v>#N/A</v>
      </c>
      <c r="G234" s="50" t="e">
        <v>#N/A</v>
      </c>
      <c r="H234" s="50" t="e">
        <v>#N/A</v>
      </c>
      <c r="I234" s="50" t="e">
        <v>#N/A</v>
      </c>
    </row>
    <row r="235" spans="2:9" x14ac:dyDescent="0.25">
      <c r="B235" s="50"/>
      <c r="C235" s="50" t="s">
        <v>172</v>
      </c>
      <c r="D235" s="50">
        <v>0.41199999999999998</v>
      </c>
      <c r="E235" s="50" t="e">
        <v>#N/A</v>
      </c>
      <c r="F235" s="50" t="e">
        <v>#N/A</v>
      </c>
      <c r="G235" s="50" t="e">
        <v>#N/A</v>
      </c>
      <c r="H235" s="50" t="e">
        <v>#N/A</v>
      </c>
      <c r="I235" s="50" t="e">
        <v>#N/A</v>
      </c>
    </row>
    <row r="236" spans="2:9" x14ac:dyDescent="0.25">
      <c r="B236" s="50" t="s">
        <v>171</v>
      </c>
      <c r="C236" s="50" t="s">
        <v>170</v>
      </c>
      <c r="D236" s="50">
        <v>0.184</v>
      </c>
      <c r="E236" s="50" t="e">
        <v>#N/A</v>
      </c>
      <c r="F236" s="50" t="e">
        <v>#N/A</v>
      </c>
      <c r="G236" s="50" t="e">
        <v>#N/A</v>
      </c>
      <c r="H236" s="50" t="e">
        <v>#N/A</v>
      </c>
      <c r="I236" s="50" t="e">
        <v>#N/A</v>
      </c>
    </row>
    <row r="237" spans="2:9" x14ac:dyDescent="0.25">
      <c r="B237" s="50"/>
      <c r="C237" s="50" t="s">
        <v>169</v>
      </c>
      <c r="D237" s="50">
        <v>0.214</v>
      </c>
      <c r="E237" s="50" t="e">
        <v>#N/A</v>
      </c>
      <c r="F237" s="50" t="e">
        <v>#N/A</v>
      </c>
      <c r="G237" s="50" t="e">
        <v>#N/A</v>
      </c>
      <c r="H237" s="50" t="e">
        <v>#N/A</v>
      </c>
      <c r="I237" s="50" t="e">
        <v>#N/A</v>
      </c>
    </row>
    <row r="238" spans="2:9" x14ac:dyDescent="0.25">
      <c r="B238" s="50" t="s">
        <v>168</v>
      </c>
      <c r="C238" s="50" t="s">
        <v>167</v>
      </c>
      <c r="D238" s="50">
        <v>0.218</v>
      </c>
      <c r="E238" s="50" t="e">
        <v>#N/A</v>
      </c>
      <c r="F238" s="50" t="e">
        <v>#N/A</v>
      </c>
      <c r="G238" s="50" t="e">
        <v>#N/A</v>
      </c>
      <c r="H238" s="50" t="e">
        <v>#N/A</v>
      </c>
      <c r="I238" s="50" t="e">
        <v>#N/A</v>
      </c>
    </row>
    <row r="239" spans="2:9" x14ac:dyDescent="0.25">
      <c r="B239" s="50"/>
      <c r="C239" s="50" t="s">
        <v>166</v>
      </c>
      <c r="D239" s="50">
        <v>0.19500000000000001</v>
      </c>
      <c r="E239" s="50" t="e">
        <v>#N/A</v>
      </c>
      <c r="F239" s="50" t="e">
        <v>#N/A</v>
      </c>
      <c r="G239" s="50" t="e">
        <v>#N/A</v>
      </c>
      <c r="H239" s="50" t="e">
        <v>#N/A</v>
      </c>
      <c r="I239" s="50" t="e">
        <v>#N/A</v>
      </c>
    </row>
    <row r="240" spans="2:9" x14ac:dyDescent="0.25">
      <c r="B240" s="50" t="s">
        <v>165</v>
      </c>
      <c r="C240" s="50" t="s">
        <v>164</v>
      </c>
      <c r="D240" s="50">
        <v>4.2999999999999997E-2</v>
      </c>
      <c r="E240" s="50" t="e">
        <v>#N/A</v>
      </c>
      <c r="F240" s="50" t="e">
        <v>#N/A</v>
      </c>
      <c r="G240" s="50" t="e">
        <v>#N/A</v>
      </c>
      <c r="H240" s="50" t="e">
        <v>#N/A</v>
      </c>
      <c r="I240" s="50" t="e">
        <v>#N/A</v>
      </c>
    </row>
    <row r="241" spans="2:9" x14ac:dyDescent="0.25">
      <c r="B241" s="50"/>
      <c r="C241" s="50" t="s">
        <v>163</v>
      </c>
      <c r="D241" s="50">
        <v>0.05</v>
      </c>
      <c r="E241" s="50" t="e">
        <v>#N/A</v>
      </c>
      <c r="F241" s="50" t="e">
        <v>#N/A</v>
      </c>
      <c r="G241" s="50" t="e">
        <v>#N/A</v>
      </c>
      <c r="H241" s="50" t="e">
        <v>#N/A</v>
      </c>
      <c r="I241" s="50" t="e">
        <v>#N/A</v>
      </c>
    </row>
    <row r="242" spans="2:9" x14ac:dyDescent="0.25">
      <c r="B242" s="50" t="s">
        <v>162</v>
      </c>
      <c r="C242" s="50" t="s">
        <v>161</v>
      </c>
      <c r="D242" s="50">
        <v>0.107</v>
      </c>
      <c r="E242" s="50" t="e">
        <v>#N/A</v>
      </c>
      <c r="F242" s="50" t="e">
        <v>#N/A</v>
      </c>
      <c r="G242" s="50" t="e">
        <v>#N/A</v>
      </c>
      <c r="H242" s="50" t="e">
        <v>#N/A</v>
      </c>
      <c r="I242" s="50" t="e">
        <v>#N/A</v>
      </c>
    </row>
    <row r="243" spans="2:9" x14ac:dyDescent="0.25">
      <c r="B243" s="50"/>
      <c r="C243" s="50" t="s">
        <v>160</v>
      </c>
      <c r="D243" s="50">
        <v>0.20899999999999999</v>
      </c>
      <c r="E243" s="50" t="e">
        <v>#N/A</v>
      </c>
      <c r="F243" s="50" t="e">
        <v>#N/A</v>
      </c>
      <c r="G243" s="50" t="e">
        <v>#N/A</v>
      </c>
      <c r="H243" s="50" t="e">
        <v>#N/A</v>
      </c>
      <c r="I243" s="50" t="e">
        <v>#N/A</v>
      </c>
    </row>
    <row r="244" spans="2:9" x14ac:dyDescent="0.25">
      <c r="B244" s="50" t="s">
        <v>159</v>
      </c>
      <c r="C244" s="50" t="s">
        <v>158</v>
      </c>
      <c r="D244" s="50">
        <v>6.4000000000000001E-2</v>
      </c>
      <c r="E244" s="50" t="e">
        <v>#N/A</v>
      </c>
      <c r="F244" s="50" t="e">
        <v>#N/A</v>
      </c>
      <c r="G244" s="50" t="e">
        <v>#N/A</v>
      </c>
      <c r="H244" s="50" t="e">
        <v>#N/A</v>
      </c>
      <c r="I244" s="50" t="e">
        <v>#N/A</v>
      </c>
    </row>
    <row r="245" spans="2:9" x14ac:dyDescent="0.25">
      <c r="B245" s="50"/>
      <c r="C245" s="50" t="s">
        <v>157</v>
      </c>
      <c r="D245" s="50">
        <v>9.2999999999999999E-2</v>
      </c>
      <c r="E245" s="50" t="e">
        <v>#N/A</v>
      </c>
      <c r="F245" s="50" t="e">
        <v>#N/A</v>
      </c>
      <c r="G245" s="50" t="e">
        <v>#N/A</v>
      </c>
      <c r="H245" s="50" t="e">
        <v>#N/A</v>
      </c>
      <c r="I245" s="50" t="e">
        <v>#N/A</v>
      </c>
    </row>
    <row r="246" spans="2:9" x14ac:dyDescent="0.25">
      <c r="B246" s="50" t="s">
        <v>156</v>
      </c>
      <c r="C246" s="50" t="s">
        <v>155</v>
      </c>
      <c r="D246" s="50">
        <v>-0.109</v>
      </c>
      <c r="E246" s="50" t="e">
        <v>#N/A</v>
      </c>
      <c r="F246" s="50" t="e">
        <v>#N/A</v>
      </c>
      <c r="G246" s="50" t="e">
        <v>#N/A</v>
      </c>
      <c r="H246" s="50" t="e">
        <v>#N/A</v>
      </c>
      <c r="I246" s="50" t="e">
        <v>#N/A</v>
      </c>
    </row>
    <row r="247" spans="2:9" x14ac:dyDescent="0.25">
      <c r="B247" s="50"/>
      <c r="C247" s="50" t="s">
        <v>154</v>
      </c>
      <c r="D247" s="50">
        <v>-0.112</v>
      </c>
      <c r="E247" s="50" t="e">
        <v>#N/A</v>
      </c>
      <c r="F247" s="50" t="e">
        <v>#N/A</v>
      </c>
      <c r="G247" s="50" t="e">
        <v>#N/A</v>
      </c>
      <c r="H247" s="50" t="e">
        <v>#N/A</v>
      </c>
      <c r="I247" s="50" t="e">
        <v>#N/A</v>
      </c>
    </row>
    <row r="248" spans="2:9" x14ac:dyDescent="0.25">
      <c r="B248" s="50" t="s">
        <v>153</v>
      </c>
      <c r="C248" s="50" t="s">
        <v>152</v>
      </c>
      <c r="D248" s="50">
        <v>0.151</v>
      </c>
      <c r="E248" s="50" t="e">
        <v>#N/A</v>
      </c>
      <c r="F248" s="50" t="e">
        <v>#N/A</v>
      </c>
      <c r="G248" s="50" t="e">
        <v>#N/A</v>
      </c>
      <c r="H248" s="50" t="e">
        <v>#N/A</v>
      </c>
      <c r="I248" s="50" t="e">
        <v>#N/A</v>
      </c>
    </row>
    <row r="249" spans="2:9" x14ac:dyDescent="0.25">
      <c r="B249" s="50"/>
      <c r="C249" s="50" t="s">
        <v>151</v>
      </c>
      <c r="D249" s="50">
        <v>0.19400000000000001</v>
      </c>
      <c r="E249" s="50" t="e">
        <v>#N/A</v>
      </c>
      <c r="F249" s="50" t="e">
        <v>#N/A</v>
      </c>
      <c r="G249" s="50" t="e">
        <v>#N/A</v>
      </c>
      <c r="H249" s="50" t="e">
        <v>#N/A</v>
      </c>
      <c r="I249" s="50" t="e">
        <v>#N/A</v>
      </c>
    </row>
    <row r="250" spans="2:9" x14ac:dyDescent="0.25">
      <c r="B250" s="50" t="s">
        <v>150</v>
      </c>
      <c r="C250" s="50" t="s">
        <v>149</v>
      </c>
      <c r="D250" s="50">
        <v>7.6999999999999999E-2</v>
      </c>
      <c r="E250" s="50" t="e">
        <v>#N/A</v>
      </c>
      <c r="F250" s="50" t="e">
        <v>#N/A</v>
      </c>
      <c r="G250" s="50" t="e">
        <v>#N/A</v>
      </c>
      <c r="H250" s="50" t="e">
        <v>#N/A</v>
      </c>
      <c r="I250" s="50" t="e">
        <v>#N/A</v>
      </c>
    </row>
    <row r="251" spans="2:9" x14ac:dyDescent="0.25">
      <c r="B251" s="50"/>
      <c r="C251" s="50" t="s">
        <v>148</v>
      </c>
      <c r="D251" s="50">
        <v>0.11600000000000001</v>
      </c>
      <c r="E251" s="50" t="e">
        <v>#N/A</v>
      </c>
      <c r="F251" s="50" t="e">
        <v>#N/A</v>
      </c>
      <c r="G251" s="50" t="e">
        <v>#N/A</v>
      </c>
      <c r="H251" s="50" t="e">
        <v>#N/A</v>
      </c>
      <c r="I251" s="50" t="e">
        <v>#N/A</v>
      </c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CF6E5-6B9B-4ABF-B55D-DDCE7CC530E5}">
  <dimension ref="A2:O74"/>
  <sheetViews>
    <sheetView topLeftCell="A50" workbookViewId="0">
      <selection activeCell="C76" sqref="C76"/>
    </sheetView>
  </sheetViews>
  <sheetFormatPr defaultColWidth="8.796875" defaultRowHeight="13.2" x14ac:dyDescent="0.25"/>
  <cols>
    <col min="1" max="1" width="18.69921875" style="17" customWidth="1"/>
    <col min="2" max="2" width="11.296875" style="17" customWidth="1"/>
    <col min="3" max="16384" width="8.796875" style="17"/>
  </cols>
  <sheetData>
    <row r="2" spans="1:2" x14ac:dyDescent="0.25">
      <c r="A2" s="17" t="s">
        <v>19</v>
      </c>
      <c r="B2" s="17" t="s">
        <v>20</v>
      </c>
    </row>
    <row r="4" spans="1:2" x14ac:dyDescent="0.25">
      <c r="A4" s="17" t="s">
        <v>21</v>
      </c>
      <c r="B4" s="17" t="s">
        <v>111</v>
      </c>
    </row>
    <row r="5" spans="1:2" x14ac:dyDescent="0.25">
      <c r="A5" s="17" t="s">
        <v>22</v>
      </c>
      <c r="B5" s="17" t="s">
        <v>112</v>
      </c>
    </row>
    <row r="6" spans="1:2" x14ac:dyDescent="0.25">
      <c r="A6" s="17" t="s">
        <v>23</v>
      </c>
      <c r="B6" s="17" t="s">
        <v>24</v>
      </c>
    </row>
    <row r="7" spans="1:2" x14ac:dyDescent="0.25">
      <c r="A7" s="17" t="s">
        <v>2</v>
      </c>
      <c r="B7" s="18">
        <v>45575</v>
      </c>
    </row>
    <row r="8" spans="1:2" x14ac:dyDescent="0.25">
      <c r="A8" s="17" t="s">
        <v>25</v>
      </c>
      <c r="B8" s="19">
        <v>0.75822916666666673</v>
      </c>
    </row>
    <row r="9" spans="1:2" x14ac:dyDescent="0.25">
      <c r="A9" s="17" t="s">
        <v>26</v>
      </c>
      <c r="B9" s="17" t="s">
        <v>113</v>
      </c>
    </row>
    <row r="10" spans="1:2" x14ac:dyDescent="0.25">
      <c r="A10" s="17" t="s">
        <v>27</v>
      </c>
      <c r="B10" s="17">
        <v>13081218</v>
      </c>
    </row>
    <row r="11" spans="1:2" x14ac:dyDescent="0.25">
      <c r="A11" s="17" t="s">
        <v>28</v>
      </c>
      <c r="B11" s="17" t="s">
        <v>29</v>
      </c>
    </row>
    <row r="13" spans="1:2" x14ac:dyDescent="0.25">
      <c r="A13" s="20" t="s">
        <v>30</v>
      </c>
      <c r="B13" s="21"/>
    </row>
    <row r="14" spans="1:2" x14ac:dyDescent="0.25">
      <c r="A14" s="17" t="s">
        <v>31</v>
      </c>
      <c r="B14" s="17" t="s">
        <v>32</v>
      </c>
    </row>
    <row r="15" spans="1:2" x14ac:dyDescent="0.25">
      <c r="A15" s="17" t="s">
        <v>33</v>
      </c>
    </row>
    <row r="16" spans="1:2" x14ac:dyDescent="0.25">
      <c r="A16" s="17" t="s">
        <v>34</v>
      </c>
      <c r="B16" s="17" t="s">
        <v>35</v>
      </c>
    </row>
    <row r="17" spans="1:15" x14ac:dyDescent="0.25">
      <c r="B17" s="17" t="s">
        <v>114</v>
      </c>
    </row>
    <row r="18" spans="1:15" x14ac:dyDescent="0.25">
      <c r="B18" s="17" t="s">
        <v>115</v>
      </c>
    </row>
    <row r="19" spans="1:15" x14ac:dyDescent="0.25">
      <c r="B19" s="17" t="s">
        <v>96</v>
      </c>
    </row>
    <row r="21" spans="1:15" x14ac:dyDescent="0.25">
      <c r="A21" s="20" t="s">
        <v>36</v>
      </c>
      <c r="B21" s="21"/>
    </row>
    <row r="23" spans="1:15" x14ac:dyDescent="0.25">
      <c r="B23" s="22"/>
      <c r="C23" s="23">
        <v>1</v>
      </c>
      <c r="D23" s="23">
        <v>2</v>
      </c>
      <c r="E23" s="23">
        <v>3</v>
      </c>
      <c r="F23" s="23">
        <v>4</v>
      </c>
      <c r="G23" s="23">
        <v>5</v>
      </c>
      <c r="H23" s="23">
        <v>6</v>
      </c>
      <c r="I23" s="23">
        <v>7</v>
      </c>
      <c r="J23" s="23">
        <v>8</v>
      </c>
      <c r="K23" s="23">
        <v>9</v>
      </c>
      <c r="L23" s="23">
        <v>10</v>
      </c>
      <c r="M23" s="23">
        <v>11</v>
      </c>
      <c r="N23" s="23">
        <v>12</v>
      </c>
    </row>
    <row r="24" spans="1:15" x14ac:dyDescent="0.25">
      <c r="B24" s="63" t="s">
        <v>37</v>
      </c>
      <c r="C24" s="32" t="s">
        <v>38</v>
      </c>
      <c r="D24" s="25" t="s">
        <v>116</v>
      </c>
      <c r="E24" s="26" t="s">
        <v>39</v>
      </c>
      <c r="F24" s="26" t="s">
        <v>40</v>
      </c>
      <c r="G24" s="24"/>
      <c r="H24" s="24"/>
      <c r="I24" s="24"/>
      <c r="J24" s="24"/>
      <c r="K24" s="24"/>
      <c r="L24" s="24"/>
      <c r="M24" s="24"/>
      <c r="N24" s="24"/>
      <c r="O24" s="27" t="s">
        <v>41</v>
      </c>
    </row>
    <row r="25" spans="1:15" x14ac:dyDescent="0.25">
      <c r="B25" s="64"/>
      <c r="C25" s="33"/>
      <c r="D25" s="29">
        <v>1000</v>
      </c>
      <c r="E25" s="30"/>
      <c r="F25" s="30"/>
      <c r="G25" s="28"/>
      <c r="H25" s="28"/>
      <c r="I25" s="28"/>
      <c r="J25" s="28"/>
      <c r="K25" s="28"/>
      <c r="L25" s="28"/>
      <c r="M25" s="28"/>
      <c r="N25" s="28"/>
      <c r="O25" s="27" t="s">
        <v>42</v>
      </c>
    </row>
    <row r="26" spans="1:15" x14ac:dyDescent="0.25">
      <c r="B26" s="63" t="s">
        <v>43</v>
      </c>
      <c r="C26" s="32" t="s">
        <v>38</v>
      </c>
      <c r="D26" s="25" t="s">
        <v>116</v>
      </c>
      <c r="E26" s="26" t="s">
        <v>39</v>
      </c>
      <c r="F26" s="26" t="s">
        <v>40</v>
      </c>
      <c r="G26" s="24"/>
      <c r="H26" s="24"/>
      <c r="I26" s="24"/>
      <c r="J26" s="24"/>
      <c r="K26" s="24"/>
      <c r="L26" s="24"/>
      <c r="M26" s="24"/>
      <c r="N26" s="24"/>
      <c r="O26" s="27" t="s">
        <v>41</v>
      </c>
    </row>
    <row r="27" spans="1:15" x14ac:dyDescent="0.25">
      <c r="B27" s="64"/>
      <c r="C27" s="33"/>
      <c r="D27" s="29">
        <v>1000</v>
      </c>
      <c r="E27" s="30"/>
      <c r="F27" s="30"/>
      <c r="G27" s="28"/>
      <c r="H27" s="28"/>
      <c r="I27" s="28"/>
      <c r="J27" s="28"/>
      <c r="K27" s="28"/>
      <c r="L27" s="28"/>
      <c r="M27" s="28"/>
      <c r="N27" s="28"/>
      <c r="O27" s="27" t="s">
        <v>42</v>
      </c>
    </row>
    <row r="28" spans="1:15" x14ac:dyDescent="0.25">
      <c r="B28" s="63" t="s">
        <v>44</v>
      </c>
      <c r="C28" s="25" t="s">
        <v>97</v>
      </c>
      <c r="D28" s="26" t="s">
        <v>46</v>
      </c>
      <c r="E28" s="26" t="s">
        <v>47</v>
      </c>
      <c r="F28" s="26" t="s">
        <v>48</v>
      </c>
      <c r="G28" s="24"/>
      <c r="H28" s="24"/>
      <c r="I28" s="24"/>
      <c r="J28" s="24"/>
      <c r="K28" s="24"/>
      <c r="L28" s="24"/>
      <c r="M28" s="24"/>
      <c r="N28" s="24"/>
      <c r="O28" s="27" t="s">
        <v>41</v>
      </c>
    </row>
    <row r="29" spans="1:15" x14ac:dyDescent="0.25">
      <c r="B29" s="64"/>
      <c r="C29" s="29">
        <v>0</v>
      </c>
      <c r="D29" s="30"/>
      <c r="E29" s="30"/>
      <c r="F29" s="30"/>
      <c r="G29" s="28"/>
      <c r="H29" s="28"/>
      <c r="I29" s="28"/>
      <c r="J29" s="28"/>
      <c r="K29" s="28"/>
      <c r="L29" s="28"/>
      <c r="M29" s="28"/>
      <c r="N29" s="28"/>
      <c r="O29" s="27" t="s">
        <v>42</v>
      </c>
    </row>
    <row r="30" spans="1:15" x14ac:dyDescent="0.25">
      <c r="B30" s="63" t="s">
        <v>49</v>
      </c>
      <c r="C30" s="25" t="s">
        <v>97</v>
      </c>
      <c r="D30" s="26" t="s">
        <v>46</v>
      </c>
      <c r="E30" s="26" t="s">
        <v>47</v>
      </c>
      <c r="F30" s="26" t="s">
        <v>48</v>
      </c>
      <c r="G30" s="24"/>
      <c r="H30" s="24"/>
      <c r="I30" s="24"/>
      <c r="J30" s="24"/>
      <c r="K30" s="24"/>
      <c r="L30" s="24"/>
      <c r="M30" s="24"/>
      <c r="N30" s="24"/>
      <c r="O30" s="27" t="s">
        <v>41</v>
      </c>
    </row>
    <row r="31" spans="1:15" x14ac:dyDescent="0.25">
      <c r="B31" s="64"/>
      <c r="C31" s="29">
        <v>0</v>
      </c>
      <c r="D31" s="30"/>
      <c r="E31" s="30"/>
      <c r="F31" s="30"/>
      <c r="G31" s="28"/>
      <c r="H31" s="28"/>
      <c r="I31" s="28"/>
      <c r="J31" s="28"/>
      <c r="K31" s="28"/>
      <c r="L31" s="28"/>
      <c r="M31" s="28"/>
      <c r="N31" s="28"/>
      <c r="O31" s="27" t="s">
        <v>42</v>
      </c>
    </row>
    <row r="32" spans="1:15" x14ac:dyDescent="0.25">
      <c r="B32" s="63" t="s">
        <v>50</v>
      </c>
      <c r="C32" s="25" t="s">
        <v>45</v>
      </c>
      <c r="D32" s="26" t="s">
        <v>52</v>
      </c>
      <c r="E32" s="26" t="s">
        <v>53</v>
      </c>
      <c r="F32" s="26" t="s">
        <v>54</v>
      </c>
      <c r="G32" s="24"/>
      <c r="H32" s="24"/>
      <c r="I32" s="24"/>
      <c r="J32" s="24"/>
      <c r="K32" s="24"/>
      <c r="L32" s="24"/>
      <c r="M32" s="24"/>
      <c r="N32" s="24"/>
      <c r="O32" s="27" t="s">
        <v>41</v>
      </c>
    </row>
    <row r="33" spans="1:15" x14ac:dyDescent="0.25">
      <c r="B33" s="64"/>
      <c r="C33" s="29">
        <v>300</v>
      </c>
      <c r="D33" s="30"/>
      <c r="E33" s="30"/>
      <c r="F33" s="30"/>
      <c r="G33" s="28"/>
      <c r="H33" s="28"/>
      <c r="I33" s="28"/>
      <c r="J33" s="28"/>
      <c r="K33" s="28"/>
      <c r="L33" s="28"/>
      <c r="M33" s="28"/>
      <c r="N33" s="28"/>
      <c r="O33" s="27" t="s">
        <v>42</v>
      </c>
    </row>
    <row r="34" spans="1:15" x14ac:dyDescent="0.25">
      <c r="B34" s="63" t="s">
        <v>55</v>
      </c>
      <c r="C34" s="25" t="s">
        <v>45</v>
      </c>
      <c r="D34" s="26" t="s">
        <v>52</v>
      </c>
      <c r="E34" s="26" t="s">
        <v>53</v>
      </c>
      <c r="F34" s="26" t="s">
        <v>54</v>
      </c>
      <c r="G34" s="24"/>
      <c r="H34" s="24"/>
      <c r="I34" s="24"/>
      <c r="J34" s="24"/>
      <c r="K34" s="24"/>
      <c r="L34" s="24"/>
      <c r="M34" s="24"/>
      <c r="N34" s="24"/>
      <c r="O34" s="27" t="s">
        <v>41</v>
      </c>
    </row>
    <row r="35" spans="1:15" x14ac:dyDescent="0.25">
      <c r="B35" s="64"/>
      <c r="C35" s="29">
        <v>300</v>
      </c>
      <c r="D35" s="30"/>
      <c r="E35" s="30"/>
      <c r="F35" s="30"/>
      <c r="G35" s="28"/>
      <c r="H35" s="28"/>
      <c r="I35" s="28"/>
      <c r="J35" s="28"/>
      <c r="K35" s="28"/>
      <c r="L35" s="28"/>
      <c r="M35" s="28"/>
      <c r="N35" s="28"/>
      <c r="O35" s="27" t="s">
        <v>42</v>
      </c>
    </row>
    <row r="36" spans="1:15" x14ac:dyDescent="0.25">
      <c r="B36" s="63" t="s">
        <v>56</v>
      </c>
      <c r="C36" s="25" t="s">
        <v>51</v>
      </c>
      <c r="D36" s="26" t="s">
        <v>57</v>
      </c>
      <c r="E36" s="26" t="s">
        <v>58</v>
      </c>
      <c r="F36" s="24"/>
      <c r="G36" s="24"/>
      <c r="H36" s="24"/>
      <c r="I36" s="24"/>
      <c r="J36" s="24"/>
      <c r="K36" s="24"/>
      <c r="L36" s="24"/>
      <c r="M36" s="24"/>
      <c r="N36" s="24"/>
      <c r="O36" s="27" t="s">
        <v>41</v>
      </c>
    </row>
    <row r="37" spans="1:15" x14ac:dyDescent="0.25">
      <c r="B37" s="64"/>
      <c r="C37" s="29">
        <v>600</v>
      </c>
      <c r="D37" s="30"/>
      <c r="E37" s="30"/>
      <c r="F37" s="28"/>
      <c r="G37" s="28"/>
      <c r="H37" s="28"/>
      <c r="I37" s="28"/>
      <c r="J37" s="28"/>
      <c r="K37" s="28"/>
      <c r="L37" s="28"/>
      <c r="M37" s="28"/>
      <c r="N37" s="28"/>
      <c r="O37" s="27" t="s">
        <v>42</v>
      </c>
    </row>
    <row r="38" spans="1:15" x14ac:dyDescent="0.25">
      <c r="B38" s="63" t="s">
        <v>59</v>
      </c>
      <c r="C38" s="25" t="s">
        <v>51</v>
      </c>
      <c r="D38" s="26" t="s">
        <v>57</v>
      </c>
      <c r="E38" s="26" t="s">
        <v>58</v>
      </c>
      <c r="F38" s="24"/>
      <c r="G38" s="24"/>
      <c r="H38" s="24"/>
      <c r="I38" s="24"/>
      <c r="J38" s="24"/>
      <c r="K38" s="24"/>
      <c r="L38" s="24"/>
      <c r="M38" s="24"/>
      <c r="N38" s="24"/>
      <c r="O38" s="27" t="s">
        <v>41</v>
      </c>
    </row>
    <row r="39" spans="1:15" x14ac:dyDescent="0.25">
      <c r="B39" s="64"/>
      <c r="C39" s="29">
        <v>600</v>
      </c>
      <c r="D39" s="30"/>
      <c r="E39" s="30"/>
      <c r="F39" s="28"/>
      <c r="G39" s="28"/>
      <c r="H39" s="28"/>
      <c r="I39" s="28"/>
      <c r="J39" s="28"/>
      <c r="K39" s="28"/>
      <c r="L39" s="28"/>
      <c r="M39" s="28"/>
      <c r="N39" s="28"/>
      <c r="O39" s="27" t="s">
        <v>42</v>
      </c>
    </row>
    <row r="41" spans="1:15" x14ac:dyDescent="0.25">
      <c r="A41" s="20" t="s">
        <v>60</v>
      </c>
      <c r="B41" s="21"/>
    </row>
    <row r="42" spans="1:15" x14ac:dyDescent="0.25">
      <c r="A42" s="17" t="s">
        <v>61</v>
      </c>
      <c r="B42" s="17">
        <v>23.3</v>
      </c>
    </row>
    <row r="44" spans="1:15" x14ac:dyDescent="0.25">
      <c r="B44" s="23" t="s">
        <v>41</v>
      </c>
      <c r="C44" s="23" t="s">
        <v>62</v>
      </c>
      <c r="D44" s="23" t="s">
        <v>42</v>
      </c>
      <c r="E44" s="23">
        <v>570</v>
      </c>
      <c r="F44" s="23" t="s">
        <v>118</v>
      </c>
      <c r="G44" s="23" t="s">
        <v>63</v>
      </c>
      <c r="H44" s="23" t="s">
        <v>6</v>
      </c>
      <c r="I44" s="23" t="s">
        <v>64</v>
      </c>
      <c r="J44" s="23" t="s">
        <v>65</v>
      </c>
    </row>
    <row r="45" spans="1:15" x14ac:dyDescent="0.25">
      <c r="B45" s="31" t="s">
        <v>38</v>
      </c>
      <c r="C45" s="31" t="s">
        <v>66</v>
      </c>
      <c r="D45" s="31"/>
      <c r="E45" s="31">
        <v>4.8000000000000001E-2</v>
      </c>
      <c r="F45" s="31">
        <v>1E-3</v>
      </c>
      <c r="G45" s="31">
        <v>2</v>
      </c>
      <c r="H45" s="31">
        <v>0</v>
      </c>
      <c r="I45" s="31">
        <v>1E-3</v>
      </c>
      <c r="J45" s="31">
        <v>2.64952549577072E+16</v>
      </c>
    </row>
    <row r="46" spans="1:15" x14ac:dyDescent="0.25">
      <c r="B46" s="31"/>
      <c r="C46" s="31" t="s">
        <v>67</v>
      </c>
      <c r="D46" s="31"/>
      <c r="E46" s="31">
        <v>4.7E-2</v>
      </c>
      <c r="F46" s="31">
        <v>-1E-3</v>
      </c>
      <c r="G46" s="31"/>
      <c r="H46" s="31"/>
      <c r="I46" s="31"/>
      <c r="J46" s="31"/>
    </row>
    <row r="47" spans="1:15" x14ac:dyDescent="0.25">
      <c r="B47" s="31" t="s">
        <v>46</v>
      </c>
      <c r="C47" s="31" t="s">
        <v>68</v>
      </c>
      <c r="D47" s="31"/>
      <c r="E47" s="31">
        <v>1.5549999999999999</v>
      </c>
      <c r="F47" s="31">
        <v>1.508</v>
      </c>
      <c r="G47" s="31">
        <v>2</v>
      </c>
      <c r="H47" s="31">
        <v>1.4930000000000001</v>
      </c>
      <c r="I47" s="31">
        <v>2.1999999999999999E-2</v>
      </c>
      <c r="J47" s="31">
        <v>1.4590000000000001</v>
      </c>
    </row>
    <row r="48" spans="1:15" x14ac:dyDescent="0.25">
      <c r="B48" s="31"/>
      <c r="C48" s="31" t="s">
        <v>69</v>
      </c>
      <c r="D48" s="31"/>
      <c r="E48" s="31">
        <v>1.524</v>
      </c>
      <c r="F48" s="31">
        <v>1.4770000000000001</v>
      </c>
      <c r="G48" s="31"/>
      <c r="H48" s="31"/>
      <c r="I48" s="31"/>
      <c r="J48" s="31"/>
    </row>
    <row r="49" spans="2:10" x14ac:dyDescent="0.25">
      <c r="B49" s="31" t="s">
        <v>52</v>
      </c>
      <c r="C49" s="31" t="s">
        <v>70</v>
      </c>
      <c r="D49" s="31"/>
      <c r="E49" s="31">
        <v>2.141</v>
      </c>
      <c r="F49" s="31">
        <v>2.0939999999999999</v>
      </c>
      <c r="G49" s="31">
        <v>2</v>
      </c>
      <c r="H49" s="31">
        <v>1.6759999999999999</v>
      </c>
      <c r="I49" s="31">
        <v>0.59099999999999997</v>
      </c>
      <c r="J49" s="31">
        <v>35.293999999999997</v>
      </c>
    </row>
    <row r="50" spans="2:10" x14ac:dyDescent="0.25">
      <c r="B50" s="31"/>
      <c r="C50" s="31" t="s">
        <v>71</v>
      </c>
      <c r="D50" s="31"/>
      <c r="E50" s="31">
        <v>1.3049999999999999</v>
      </c>
      <c r="F50" s="31">
        <v>1.258</v>
      </c>
      <c r="G50" s="31"/>
      <c r="H50" s="31"/>
      <c r="I50" s="31"/>
      <c r="J50" s="31"/>
    </row>
    <row r="51" spans="2:10" x14ac:dyDescent="0.25">
      <c r="B51" s="31" t="s">
        <v>57</v>
      </c>
      <c r="C51" s="31" t="s">
        <v>72</v>
      </c>
      <c r="D51" s="31"/>
      <c r="E51" s="31">
        <v>1.02</v>
      </c>
      <c r="F51" s="31">
        <v>0.97299999999999998</v>
      </c>
      <c r="G51" s="31">
        <v>2</v>
      </c>
      <c r="H51" s="31">
        <v>0.97599999999999998</v>
      </c>
      <c r="I51" s="31">
        <v>4.0000000000000001E-3</v>
      </c>
      <c r="J51" s="31">
        <v>0.435</v>
      </c>
    </row>
    <row r="52" spans="2:10" x14ac:dyDescent="0.25">
      <c r="B52" s="31"/>
      <c r="C52" s="31" t="s">
        <v>73</v>
      </c>
      <c r="D52" s="31"/>
      <c r="E52" s="31">
        <v>1.026</v>
      </c>
      <c r="F52" s="31">
        <v>0.97899999999999998</v>
      </c>
      <c r="G52" s="31"/>
      <c r="H52" s="31"/>
      <c r="I52" s="31"/>
      <c r="J52" s="31"/>
    </row>
    <row r="53" spans="2:10" x14ac:dyDescent="0.25">
      <c r="B53" s="31" t="s">
        <v>39</v>
      </c>
      <c r="C53" s="31" t="s">
        <v>74</v>
      </c>
      <c r="D53" s="31"/>
      <c r="E53" s="31">
        <v>0.70899999999999996</v>
      </c>
      <c r="F53" s="31">
        <v>0.66200000000000003</v>
      </c>
      <c r="G53" s="31">
        <v>2</v>
      </c>
      <c r="H53" s="31">
        <v>0.67300000000000004</v>
      </c>
      <c r="I53" s="31">
        <v>1.6E-2</v>
      </c>
      <c r="J53" s="31">
        <v>2.3940000000000001</v>
      </c>
    </row>
    <row r="54" spans="2:10" x14ac:dyDescent="0.25">
      <c r="B54" s="31"/>
      <c r="C54" s="31" t="s">
        <v>75</v>
      </c>
      <c r="D54" s="31"/>
      <c r="E54" s="31">
        <v>0.73199999999999998</v>
      </c>
      <c r="F54" s="31">
        <v>0.68500000000000005</v>
      </c>
      <c r="G54" s="31"/>
      <c r="H54" s="31"/>
      <c r="I54" s="31"/>
      <c r="J54" s="31"/>
    </row>
    <row r="55" spans="2:10" x14ac:dyDescent="0.25">
      <c r="B55" s="31" t="s">
        <v>47</v>
      </c>
      <c r="C55" s="31" t="s">
        <v>76</v>
      </c>
      <c r="D55" s="31"/>
      <c r="E55" s="31">
        <v>1.5840000000000001</v>
      </c>
      <c r="F55" s="31">
        <v>1.5369999999999999</v>
      </c>
      <c r="G55" s="31">
        <v>2</v>
      </c>
      <c r="H55" s="31">
        <v>1.522</v>
      </c>
      <c r="I55" s="31">
        <v>0.02</v>
      </c>
      <c r="J55" s="31">
        <v>1.3420000000000001</v>
      </c>
    </row>
    <row r="56" spans="2:10" x14ac:dyDescent="0.25">
      <c r="B56" s="31"/>
      <c r="C56" s="31" t="s">
        <v>77</v>
      </c>
      <c r="D56" s="31"/>
      <c r="E56" s="31">
        <v>1.5549999999999999</v>
      </c>
      <c r="F56" s="31">
        <v>1.508</v>
      </c>
      <c r="G56" s="31"/>
      <c r="H56" s="31"/>
      <c r="I56" s="31"/>
      <c r="J56" s="31"/>
    </row>
    <row r="57" spans="2:10" x14ac:dyDescent="0.25">
      <c r="B57" s="31" t="s">
        <v>53</v>
      </c>
      <c r="C57" s="31" t="s">
        <v>78</v>
      </c>
      <c r="D57" s="31"/>
      <c r="E57" s="31">
        <v>1.298</v>
      </c>
      <c r="F57" s="31">
        <v>1.2509999999999999</v>
      </c>
      <c r="G57" s="31">
        <v>2</v>
      </c>
      <c r="H57" s="31">
        <v>1.252</v>
      </c>
      <c r="I57" s="31">
        <v>1E-3</v>
      </c>
      <c r="J57" s="31">
        <v>8.5000000000000006E-2</v>
      </c>
    </row>
    <row r="58" spans="2:10" x14ac:dyDescent="0.25">
      <c r="B58" s="31"/>
      <c r="C58" s="31" t="s">
        <v>79</v>
      </c>
      <c r="D58" s="31"/>
      <c r="E58" s="31">
        <v>1.3</v>
      </c>
      <c r="F58" s="31">
        <v>1.252</v>
      </c>
      <c r="G58" s="31"/>
      <c r="H58" s="31"/>
      <c r="I58" s="31"/>
      <c r="J58" s="31"/>
    </row>
    <row r="59" spans="2:10" x14ac:dyDescent="0.25">
      <c r="B59" s="31" t="s">
        <v>58</v>
      </c>
      <c r="C59" s="31" t="s">
        <v>80</v>
      </c>
      <c r="D59" s="31"/>
      <c r="E59" s="31">
        <v>0.879</v>
      </c>
      <c r="F59" s="31">
        <v>0.83199999999999996</v>
      </c>
      <c r="G59" s="31">
        <v>2</v>
      </c>
      <c r="H59" s="31">
        <v>0.82599999999999996</v>
      </c>
      <c r="I59" s="31">
        <v>8.9999999999999993E-3</v>
      </c>
      <c r="J59" s="31">
        <v>1.113</v>
      </c>
    </row>
    <row r="60" spans="2:10" x14ac:dyDescent="0.25">
      <c r="B60" s="31"/>
      <c r="C60" s="31" t="s">
        <v>81</v>
      </c>
      <c r="D60" s="31"/>
      <c r="E60" s="31">
        <v>0.86599999999999999</v>
      </c>
      <c r="F60" s="31">
        <v>0.81899999999999995</v>
      </c>
      <c r="G60" s="31"/>
      <c r="H60" s="31"/>
      <c r="I60" s="31"/>
      <c r="J60" s="31"/>
    </row>
    <row r="61" spans="2:10" x14ac:dyDescent="0.25">
      <c r="B61" s="31" t="s">
        <v>40</v>
      </c>
      <c r="C61" s="31" t="s">
        <v>82</v>
      </c>
      <c r="D61" s="31"/>
      <c r="E61" s="31">
        <v>0.51200000000000001</v>
      </c>
      <c r="F61" s="31">
        <v>0.46500000000000002</v>
      </c>
      <c r="G61" s="31">
        <v>2</v>
      </c>
      <c r="H61" s="31">
        <v>0.46700000000000003</v>
      </c>
      <c r="I61" s="31">
        <v>2E-3</v>
      </c>
      <c r="J61" s="31">
        <v>0.51500000000000001</v>
      </c>
    </row>
    <row r="62" spans="2:10" x14ac:dyDescent="0.25">
      <c r="B62" s="31"/>
      <c r="C62" s="31" t="s">
        <v>83</v>
      </c>
      <c r="D62" s="31"/>
      <c r="E62" s="31">
        <v>0.51500000000000001</v>
      </c>
      <c r="F62" s="31">
        <v>0.46800000000000003</v>
      </c>
      <c r="G62" s="31"/>
      <c r="H62" s="31"/>
      <c r="I62" s="31"/>
      <c r="J62" s="31"/>
    </row>
    <row r="63" spans="2:10" x14ac:dyDescent="0.25">
      <c r="B63" s="31" t="s">
        <v>48</v>
      </c>
      <c r="C63" s="31" t="s">
        <v>84</v>
      </c>
      <c r="D63" s="31"/>
      <c r="E63" s="31">
        <v>1.621</v>
      </c>
      <c r="F63" s="31">
        <v>1.5740000000000001</v>
      </c>
      <c r="G63" s="31">
        <v>2</v>
      </c>
      <c r="H63" s="31">
        <v>1.554</v>
      </c>
      <c r="I63" s="31">
        <v>2.8000000000000001E-2</v>
      </c>
      <c r="J63" s="31">
        <v>1.7969999999999999</v>
      </c>
    </row>
    <row r="64" spans="2:10" x14ac:dyDescent="0.25">
      <c r="B64" s="31"/>
      <c r="C64" s="31" t="s">
        <v>85</v>
      </c>
      <c r="D64" s="31"/>
      <c r="E64" s="31">
        <v>1.5820000000000001</v>
      </c>
      <c r="F64" s="31">
        <v>1.5349999999999999</v>
      </c>
      <c r="G64" s="31"/>
      <c r="H64" s="31"/>
      <c r="I64" s="31"/>
      <c r="J64" s="31"/>
    </row>
    <row r="65" spans="2:10" x14ac:dyDescent="0.25">
      <c r="B65" s="31" t="s">
        <v>54</v>
      </c>
      <c r="C65" s="31" t="s">
        <v>86</v>
      </c>
      <c r="D65" s="31"/>
      <c r="E65" s="31">
        <v>1.482</v>
      </c>
      <c r="F65" s="31">
        <v>1.4350000000000001</v>
      </c>
      <c r="G65" s="31">
        <v>2</v>
      </c>
      <c r="H65" s="31">
        <v>1.149</v>
      </c>
      <c r="I65" s="31">
        <v>0.40500000000000003</v>
      </c>
      <c r="J65" s="31">
        <v>35.253999999999998</v>
      </c>
    </row>
    <row r="66" spans="2:10" x14ac:dyDescent="0.25">
      <c r="B66" s="31"/>
      <c r="C66" s="31" t="s">
        <v>87</v>
      </c>
      <c r="D66" s="31"/>
      <c r="E66" s="31">
        <v>0.90900000000000003</v>
      </c>
      <c r="F66" s="31">
        <v>0.86199999999999999</v>
      </c>
      <c r="G66" s="31"/>
      <c r="H66" s="31"/>
      <c r="I66" s="31"/>
      <c r="J66" s="31"/>
    </row>
    <row r="67" spans="2:10" x14ac:dyDescent="0.25">
      <c r="B67" s="31" t="s">
        <v>97</v>
      </c>
      <c r="C67" s="31" t="s">
        <v>88</v>
      </c>
      <c r="D67" s="31">
        <v>0</v>
      </c>
      <c r="E67" s="31">
        <v>0.106</v>
      </c>
      <c r="F67" s="31">
        <v>5.8999999999999997E-2</v>
      </c>
      <c r="G67" s="31">
        <v>2</v>
      </c>
      <c r="H67" s="31">
        <v>3.7999999999999999E-2</v>
      </c>
      <c r="I67" s="31">
        <v>0.03</v>
      </c>
      <c r="J67" s="31">
        <v>79.584999999999994</v>
      </c>
    </row>
    <row r="68" spans="2:10" x14ac:dyDescent="0.25">
      <c r="B68" s="31"/>
      <c r="C68" s="31" t="s">
        <v>89</v>
      </c>
      <c r="D68" s="31">
        <v>0</v>
      </c>
      <c r="E68" s="31">
        <v>6.4000000000000001E-2</v>
      </c>
      <c r="F68" s="31">
        <v>1.7000000000000001E-2</v>
      </c>
      <c r="G68" s="31"/>
      <c r="H68" s="31"/>
      <c r="I68" s="31"/>
      <c r="J68" s="31"/>
    </row>
    <row r="69" spans="2:10" x14ac:dyDescent="0.25">
      <c r="B69" s="31" t="s">
        <v>45</v>
      </c>
      <c r="C69" s="31" t="s">
        <v>91</v>
      </c>
      <c r="D69" s="31">
        <v>300</v>
      </c>
      <c r="E69" s="31">
        <v>6.4000000000000001E-2</v>
      </c>
      <c r="F69" s="31">
        <v>1.7000000000000001E-2</v>
      </c>
      <c r="G69" s="31">
        <v>2</v>
      </c>
      <c r="H69" s="31">
        <v>1.4999999999999999E-2</v>
      </c>
      <c r="I69" s="31">
        <v>2E-3</v>
      </c>
      <c r="J69" s="31">
        <v>12.898</v>
      </c>
    </row>
    <row r="70" spans="2:10" x14ac:dyDescent="0.25">
      <c r="B70" s="31"/>
      <c r="C70" s="31" t="s">
        <v>90</v>
      </c>
      <c r="D70" s="31">
        <v>300</v>
      </c>
      <c r="E70" s="31">
        <v>6.0999999999999999E-2</v>
      </c>
      <c r="F70" s="31">
        <v>1.4E-2</v>
      </c>
      <c r="G70" s="31"/>
      <c r="H70" s="31"/>
      <c r="I70" s="31"/>
      <c r="J70" s="31"/>
    </row>
    <row r="71" spans="2:10" x14ac:dyDescent="0.25">
      <c r="B71" s="31" t="s">
        <v>51</v>
      </c>
      <c r="C71" s="31" t="s">
        <v>92</v>
      </c>
      <c r="D71" s="31">
        <v>600</v>
      </c>
      <c r="E71" s="31">
        <v>6.6000000000000003E-2</v>
      </c>
      <c r="F71" s="31">
        <v>1.9E-2</v>
      </c>
      <c r="G71" s="31">
        <v>2</v>
      </c>
      <c r="H71" s="31">
        <v>1.4999999999999999E-2</v>
      </c>
      <c r="I71" s="31">
        <v>6.0000000000000001E-3</v>
      </c>
      <c r="J71" s="31">
        <v>36.405000000000001</v>
      </c>
    </row>
    <row r="72" spans="2:10" x14ac:dyDescent="0.25">
      <c r="B72" s="31"/>
      <c r="C72" s="31" t="s">
        <v>93</v>
      </c>
      <c r="D72" s="31">
        <v>600</v>
      </c>
      <c r="E72" s="31">
        <v>5.8000000000000003E-2</v>
      </c>
      <c r="F72" s="31">
        <v>1.0999999999999999E-2</v>
      </c>
      <c r="G72" s="31"/>
      <c r="H72" s="31"/>
      <c r="I72" s="31"/>
      <c r="J72" s="31"/>
    </row>
    <row r="73" spans="2:10" x14ac:dyDescent="0.25">
      <c r="B73" s="31" t="s">
        <v>116</v>
      </c>
      <c r="C73" s="31" t="s">
        <v>94</v>
      </c>
      <c r="D73" s="31">
        <v>1000</v>
      </c>
      <c r="E73" s="31">
        <v>6.8000000000000005E-2</v>
      </c>
      <c r="F73" s="31">
        <v>2.1000000000000001E-2</v>
      </c>
      <c r="G73" s="31">
        <v>2</v>
      </c>
      <c r="H73" s="31">
        <v>0.14799999999999999</v>
      </c>
      <c r="I73" s="31">
        <v>0.17899999999999999</v>
      </c>
      <c r="J73" s="31">
        <v>121.08199999999999</v>
      </c>
    </row>
    <row r="74" spans="2:10" x14ac:dyDescent="0.25">
      <c r="B74" s="31"/>
      <c r="C74" s="31" t="s">
        <v>95</v>
      </c>
      <c r="D74" s="31">
        <v>1000</v>
      </c>
      <c r="E74" s="31">
        <v>0.32100000000000001</v>
      </c>
      <c r="F74" s="31">
        <v>0.27400000000000002</v>
      </c>
      <c r="G74" s="31"/>
      <c r="H74" s="31"/>
      <c r="I74" s="31"/>
      <c r="J74" s="31"/>
    </row>
  </sheetData>
  <mergeCells count="8">
    <mergeCell ref="B36:B37"/>
    <mergeCell ref="B38:B39"/>
    <mergeCell ref="B24:B25"/>
    <mergeCell ref="B26:B27"/>
    <mergeCell ref="B28:B29"/>
    <mergeCell ref="B30:B31"/>
    <mergeCell ref="B32:B33"/>
    <mergeCell ref="B34:B35"/>
  </mergeCells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1000"/>
  <sheetViews>
    <sheetView topLeftCell="A13" zoomScale="95" zoomScaleNormal="150" workbookViewId="0">
      <selection activeCell="B14" sqref="B14"/>
    </sheetView>
  </sheetViews>
  <sheetFormatPr defaultColWidth="12.69921875" defaultRowHeight="15" customHeight="1" x14ac:dyDescent="0.25"/>
  <cols>
    <col min="1" max="1" width="11.69921875" customWidth="1"/>
    <col min="2" max="2" width="10.5" customWidth="1"/>
    <col min="3" max="3" width="11.19921875" customWidth="1"/>
    <col min="4" max="4" width="8" customWidth="1"/>
    <col min="5" max="5" width="11.19921875" customWidth="1"/>
    <col min="6" max="6" width="16.19921875" customWidth="1"/>
    <col min="7" max="7" width="13.296875" customWidth="1"/>
    <col min="8" max="9" width="12.19921875" customWidth="1"/>
    <col min="10" max="11" width="13.19921875" customWidth="1"/>
    <col min="12" max="26" width="7.69921875" customWidth="1"/>
  </cols>
  <sheetData>
    <row r="1" spans="1:26" ht="14.4" x14ac:dyDescent="0.3">
      <c r="A1" s="6" t="s">
        <v>4</v>
      </c>
      <c r="B1" s="6" t="s">
        <v>5</v>
      </c>
      <c r="C1" s="6" t="s">
        <v>6</v>
      </c>
      <c r="D1" s="6" t="s">
        <v>1</v>
      </c>
      <c r="E1" s="7"/>
      <c r="F1" s="6" t="s">
        <v>7</v>
      </c>
      <c r="G1" s="6"/>
      <c r="H1" s="6" t="s">
        <v>8</v>
      </c>
      <c r="I1" s="6" t="s">
        <v>9</v>
      </c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4.4" x14ac:dyDescent="0.3">
      <c r="A2" s="16" t="s">
        <v>117</v>
      </c>
      <c r="B2" s="8">
        <f>ECOA_10_10_24_RawData!E45</f>
        <v>4.8000000000000001E-2</v>
      </c>
      <c r="C2" s="8">
        <f>AVERAGE(B2,B3)</f>
        <v>4.7500000000000001E-2</v>
      </c>
      <c r="D2" s="8">
        <f>100*(STDEV(B2,B3)/C2)</f>
        <v>1.4886458551295751</v>
      </c>
      <c r="E2" s="7"/>
      <c r="F2" s="8">
        <f>C2-$C$2</f>
        <v>0</v>
      </c>
      <c r="G2" s="7"/>
      <c r="H2" s="8">
        <v>0</v>
      </c>
      <c r="I2" s="7"/>
      <c r="J2" s="7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4.4" x14ac:dyDescent="0.3">
      <c r="A3" s="16" t="s">
        <v>117</v>
      </c>
      <c r="B3" s="8">
        <f>ECOA_10_10_24_RawData!E46</f>
        <v>4.7E-2</v>
      </c>
      <c r="C3" s="8"/>
      <c r="D3" s="8"/>
      <c r="E3" s="7"/>
      <c r="F3" s="8"/>
      <c r="G3" s="7"/>
      <c r="H3" s="8"/>
      <c r="I3" s="7"/>
      <c r="J3" s="7"/>
      <c r="K3" s="65" t="s">
        <v>11</v>
      </c>
      <c r="L3" s="66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4.4" x14ac:dyDescent="0.3">
      <c r="A4" s="8" t="s">
        <v>10</v>
      </c>
      <c r="B4" s="8">
        <f>ECOA_10_10_24_RawData!E67</f>
        <v>0.106</v>
      </c>
      <c r="C4" s="8">
        <f>AVERAGE(B4,B5)</f>
        <v>8.4999999999999992E-2</v>
      </c>
      <c r="D4" s="41">
        <f>100*(STDEV(B4,B5)/C4)</f>
        <v>34.939393893923544</v>
      </c>
      <c r="E4" s="7"/>
      <c r="F4" s="8">
        <f>C4-$C$2</f>
        <v>3.7499999999999992E-2</v>
      </c>
      <c r="G4" s="7"/>
      <c r="H4" s="8">
        <v>0</v>
      </c>
      <c r="I4" s="7">
        <v>0</v>
      </c>
      <c r="J4" s="7"/>
      <c r="K4" s="10">
        <v>0</v>
      </c>
      <c r="L4" s="9">
        <f>G2</f>
        <v>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4.4" x14ac:dyDescent="0.3">
      <c r="A5" s="8" t="s">
        <v>10</v>
      </c>
      <c r="B5" s="8">
        <f>ECOA_10_10_24_RawData!E68</f>
        <v>6.4000000000000001E-2</v>
      </c>
      <c r="C5" s="8"/>
      <c r="D5" s="8"/>
      <c r="E5" s="7"/>
      <c r="F5" s="8"/>
      <c r="G5" s="7"/>
      <c r="H5" s="8"/>
      <c r="I5" s="7"/>
      <c r="J5" s="7"/>
      <c r="K5" s="10">
        <v>300</v>
      </c>
      <c r="L5" s="9">
        <f>F4</f>
        <v>3.7499999999999992E-2</v>
      </c>
      <c r="M5" s="8"/>
      <c r="N5" s="6" t="s">
        <v>120</v>
      </c>
      <c r="O5" s="6" t="s">
        <v>119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4.4" x14ac:dyDescent="0.3">
      <c r="A6" s="16" t="s">
        <v>108</v>
      </c>
      <c r="B6" s="8">
        <f>ECOA_10_10_24_RawData!E69</f>
        <v>6.4000000000000001E-2</v>
      </c>
      <c r="C6" s="8">
        <f>AVERAGE(B6,B7)</f>
        <v>6.25E-2</v>
      </c>
      <c r="D6" s="8">
        <f>100*(STDEV(B6,B7)/C6)</f>
        <v>3.3941125496954312</v>
      </c>
      <c r="E6" s="7"/>
      <c r="F6" s="8">
        <f>C6-$C$2</f>
        <v>1.4999999999999999E-2</v>
      </c>
      <c r="G6" s="7"/>
      <c r="H6" s="8">
        <v>300</v>
      </c>
      <c r="I6" s="7">
        <f>LOG10(H6)</f>
        <v>2.4771212547196626</v>
      </c>
      <c r="J6" s="7"/>
      <c r="K6" s="10">
        <v>600</v>
      </c>
      <c r="L6" s="9">
        <f>F6</f>
        <v>1.4999999999999999E-2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4.4" x14ac:dyDescent="0.3">
      <c r="A7" s="16" t="s">
        <v>108</v>
      </c>
      <c r="B7" s="8">
        <f>ECOA_10_10_24_RawData!E70</f>
        <v>6.0999999999999999E-2</v>
      </c>
      <c r="C7" s="8"/>
      <c r="D7" s="8"/>
      <c r="E7" s="7"/>
      <c r="F7" s="8"/>
      <c r="G7" s="7"/>
      <c r="H7" s="8"/>
      <c r="I7" s="7"/>
      <c r="J7" s="7"/>
      <c r="K7" s="10">
        <v>1000</v>
      </c>
      <c r="L7" s="9">
        <f>F8</f>
        <v>1.4499999999999999E-2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4.4" x14ac:dyDescent="0.3">
      <c r="A8" s="16" t="s">
        <v>12</v>
      </c>
      <c r="B8" s="8">
        <f>ECOA_10_10_24_RawData!E71</f>
        <v>6.6000000000000003E-2</v>
      </c>
      <c r="C8" s="8">
        <f>AVERAGE(B8,B9)</f>
        <v>6.2E-2</v>
      </c>
      <c r="D8" s="8">
        <f>100*(STDEV(B8,B9)/C8)</f>
        <v>9.1239584669231952</v>
      </c>
      <c r="E8" s="7"/>
      <c r="F8" s="8">
        <f>C8-$C$2</f>
        <v>1.4499999999999999E-2</v>
      </c>
      <c r="G8" s="7"/>
      <c r="H8" s="8">
        <v>600</v>
      </c>
      <c r="I8" s="7">
        <f>LOG10(H8)</f>
        <v>2.7781512503836434</v>
      </c>
      <c r="J8" s="7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4.4" x14ac:dyDescent="0.3">
      <c r="A9" s="16" t="s">
        <v>12</v>
      </c>
      <c r="B9" s="8">
        <f>ECOA_10_10_24_RawData!E72</f>
        <v>5.8000000000000003E-2</v>
      </c>
      <c r="C9" s="8"/>
      <c r="D9" s="8"/>
      <c r="E9" s="7"/>
      <c r="F9" s="8"/>
      <c r="G9" s="7"/>
      <c r="H9" s="8"/>
      <c r="I9" s="7"/>
      <c r="J9" s="7"/>
      <c r="K9" s="15" t="s">
        <v>17</v>
      </c>
      <c r="L9" s="34">
        <v>5.0000000000000004E-6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 x14ac:dyDescent="0.3">
      <c r="A10" s="16" t="s">
        <v>13</v>
      </c>
      <c r="B10" s="8">
        <f>ECOA_10_10_24_RawData!E73</f>
        <v>6.8000000000000005E-2</v>
      </c>
      <c r="C10" s="8">
        <f>AVERAGE(B10,B11)</f>
        <v>0.19450000000000001</v>
      </c>
      <c r="D10" s="41">
        <f>100*(STDEV(B10,B11)/C10)</f>
        <v>91.978414210897952</v>
      </c>
      <c r="E10" s="7"/>
      <c r="F10" s="8">
        <f>C10-$C$2</f>
        <v>0.14700000000000002</v>
      </c>
      <c r="G10" s="7"/>
      <c r="H10" s="8">
        <v>1000</v>
      </c>
      <c r="I10" s="7">
        <f>LOG10(H10)</f>
        <v>3</v>
      </c>
      <c r="J10" s="8"/>
      <c r="K10" s="15" t="s">
        <v>18</v>
      </c>
      <c r="L10" s="8">
        <v>1.4200000000000001E-2</v>
      </c>
      <c r="M10" s="8"/>
      <c r="N10" s="8"/>
      <c r="O10" s="8"/>
      <c r="P10" s="8"/>
      <c r="Q10" s="8"/>
    </row>
    <row r="11" spans="1:26" ht="15.75" customHeight="1" x14ac:dyDescent="0.3">
      <c r="A11" s="16" t="s">
        <v>13</v>
      </c>
      <c r="B11" s="8">
        <f>ECOA_10_10_24_RawData!E74</f>
        <v>0.32100000000000001</v>
      </c>
      <c r="C11" s="8"/>
      <c r="D11" s="8"/>
      <c r="E11" s="7"/>
      <c r="F11" s="6"/>
      <c r="G11" s="7"/>
      <c r="H11" s="8"/>
      <c r="I11" s="7"/>
      <c r="J11" s="8"/>
      <c r="K11" s="8"/>
      <c r="L11" s="8"/>
      <c r="M11" s="8"/>
      <c r="N11" s="8"/>
      <c r="O11" s="8"/>
      <c r="P11" s="8"/>
      <c r="Q11" s="8"/>
    </row>
    <row r="12" spans="1:26" ht="15.75" customHeight="1" x14ac:dyDescent="0.3">
      <c r="A12" s="7"/>
      <c r="B12" s="7"/>
      <c r="C12" s="7"/>
      <c r="D12" s="7"/>
      <c r="E12" s="7"/>
      <c r="F12" s="7"/>
      <c r="G12" s="8"/>
      <c r="H12" s="8"/>
      <c r="I12" s="8"/>
      <c r="J12" s="7"/>
      <c r="K12" s="7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5.75" customHeight="1" x14ac:dyDescent="0.3">
      <c r="A13" s="6" t="s">
        <v>14</v>
      </c>
      <c r="B13" s="6" t="s">
        <v>5</v>
      </c>
      <c r="C13" s="6" t="s">
        <v>6</v>
      </c>
      <c r="D13" s="6" t="s">
        <v>1</v>
      </c>
      <c r="E13" s="6" t="s">
        <v>7</v>
      </c>
      <c r="F13" s="6" t="s">
        <v>15</v>
      </c>
      <c r="G13" s="6" t="s">
        <v>16</v>
      </c>
      <c r="H13" s="8"/>
      <c r="I13" s="8"/>
      <c r="J13" s="7"/>
      <c r="K13" s="7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 x14ac:dyDescent="0.3">
      <c r="A14" s="37" t="s">
        <v>100</v>
      </c>
      <c r="B14" s="8">
        <f>ECOA_10_10_24_RawData!E47</f>
        <v>1.5549999999999999</v>
      </c>
      <c r="C14" s="13">
        <f>AVERAGE(B14,B15)</f>
        <v>1.5394999999999999</v>
      </c>
      <c r="D14" s="13">
        <f>100*(STDEV(B14,B15)/C14)</f>
        <v>1.4238590592259119</v>
      </c>
      <c r="E14" s="13">
        <f>C14-$C$2</f>
        <v>1.4919999999999998</v>
      </c>
      <c r="F14" s="13">
        <f>(E14-$L$10)/$L$9</f>
        <v>295559.99999999994</v>
      </c>
      <c r="G14" s="13">
        <f>F14</f>
        <v>295559.99999999994</v>
      </c>
      <c r="H14" s="8"/>
      <c r="I14" s="8"/>
      <c r="J14" s="8"/>
      <c r="K14" s="8"/>
      <c r="L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 x14ac:dyDescent="0.3">
      <c r="A15" s="13"/>
      <c r="B15" s="8">
        <f>ECOA_10_10_24_RawData!E48</f>
        <v>1.524</v>
      </c>
      <c r="C15" s="13"/>
      <c r="D15" s="13"/>
      <c r="E15" s="13"/>
      <c r="F15" s="13"/>
      <c r="G15" s="13"/>
      <c r="H15" s="8"/>
      <c r="I15" s="8"/>
      <c r="J15" s="8"/>
      <c r="K15" s="8"/>
      <c r="L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 x14ac:dyDescent="0.3">
      <c r="A16" s="37" t="s">
        <v>101</v>
      </c>
      <c r="B16" s="8">
        <f>ECOA_10_10_24_RawData!E49</f>
        <v>2.141</v>
      </c>
      <c r="C16" s="13">
        <f>AVERAGE(B16,B17)</f>
        <v>1.7229999999999999</v>
      </c>
      <c r="D16" s="40">
        <f>100*(STDEV(B16,B17)/C16)</f>
        <v>34.308837438883018</v>
      </c>
      <c r="E16" s="13">
        <f>C16-$C$2</f>
        <v>1.6754999999999998</v>
      </c>
      <c r="F16" s="13">
        <f>(E16-$L$10)/$L$9</f>
        <v>332259.99999999994</v>
      </c>
      <c r="G16" s="13">
        <f>F16/2</f>
        <v>166129.99999999997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 x14ac:dyDescent="0.3">
      <c r="A17" s="13"/>
      <c r="B17" s="8">
        <f>ECOA_10_10_24_RawData!E50</f>
        <v>1.3049999999999999</v>
      </c>
      <c r="C17" s="13"/>
      <c r="D17" s="13"/>
      <c r="E17" s="13"/>
      <c r="F17" s="13"/>
      <c r="G17" s="13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 x14ac:dyDescent="0.3">
      <c r="A18" s="37" t="s">
        <v>102</v>
      </c>
      <c r="B18" s="8">
        <f>ECOA_10_10_24_RawData!E51</f>
        <v>1.02</v>
      </c>
      <c r="C18" s="13">
        <f>AVERAGE(B18,B19)</f>
        <v>1.0230000000000001</v>
      </c>
      <c r="D18" s="13">
        <f>100*(STDEV(B18,B19)/C18)</f>
        <v>0.41472538486014549</v>
      </c>
      <c r="E18" s="13">
        <f>C18-$C$2</f>
        <v>0.97550000000000014</v>
      </c>
      <c r="F18" s="13">
        <f>(E18-$L$10)/$L$9</f>
        <v>192260.00000000003</v>
      </c>
      <c r="G18" s="13">
        <f>F18/4</f>
        <v>48065.000000000007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 x14ac:dyDescent="0.3">
      <c r="A19" s="13"/>
      <c r="B19" s="8">
        <f>ECOA_10_10_24_RawData!E52</f>
        <v>1.026</v>
      </c>
      <c r="C19" s="13"/>
      <c r="D19" s="13"/>
      <c r="E19" s="13"/>
      <c r="F19" s="13"/>
      <c r="G19" s="13"/>
      <c r="H19" s="35" t="s">
        <v>121</v>
      </c>
      <c r="J19" s="39" t="s">
        <v>109</v>
      </c>
      <c r="K19" s="36" t="s">
        <v>110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 x14ac:dyDescent="0.3">
      <c r="A20" s="37" t="s">
        <v>103</v>
      </c>
      <c r="B20" s="8">
        <f>ECOA_10_10_24_RawData!E53</f>
        <v>0.70899999999999996</v>
      </c>
      <c r="C20" s="13">
        <f>AVERAGE(B20,B21)</f>
        <v>0.72049999999999992</v>
      </c>
      <c r="D20" s="13">
        <f>100*(STDEV(B20,B21)/C20)</f>
        <v>2.2572457969868993</v>
      </c>
      <c r="E20" s="13">
        <f>C20-$C$2</f>
        <v>0.67299999999999993</v>
      </c>
      <c r="F20" s="13">
        <f>(E20-$L$10)/$L$9</f>
        <v>131759.99999999997</v>
      </c>
      <c r="G20" s="13">
        <f>F20/8</f>
        <v>16469.999999999996</v>
      </c>
      <c r="H20" s="8" t="s">
        <v>122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 x14ac:dyDescent="0.3">
      <c r="A21" s="13"/>
      <c r="B21" s="8">
        <f>ECOA_10_10_24_RawData!E54</f>
        <v>0.73199999999999998</v>
      </c>
      <c r="C21" s="13"/>
      <c r="D21" s="13"/>
      <c r="E21" s="13"/>
      <c r="F21" s="13"/>
      <c r="G21" s="13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 x14ac:dyDescent="0.3">
      <c r="A22" s="38" t="s">
        <v>104</v>
      </c>
      <c r="B22" s="8">
        <f>ECOA_10_10_24_RawData!E55</f>
        <v>1.5840000000000001</v>
      </c>
      <c r="C22" s="14">
        <f>AVERAGE(B22,B23)</f>
        <v>1.5695000000000001</v>
      </c>
      <c r="D22" s="14">
        <f>100*(STDEV(B22,B23)/C22)</f>
        <v>1.306536900567695</v>
      </c>
      <c r="E22" s="14">
        <f>C22-$C$2</f>
        <v>1.522</v>
      </c>
      <c r="F22" s="13">
        <f>(E22-$L$10)/$L$9</f>
        <v>301560</v>
      </c>
      <c r="G22" s="13">
        <f>F22</f>
        <v>301560</v>
      </c>
      <c r="H22" s="8"/>
      <c r="I22" s="8" t="s">
        <v>125</v>
      </c>
      <c r="J22" s="39" t="s">
        <v>109</v>
      </c>
      <c r="K22" s="36" t="s">
        <v>110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 x14ac:dyDescent="0.3">
      <c r="A23" s="14"/>
      <c r="B23" s="8">
        <f>ECOA_10_10_24_RawData!E56</f>
        <v>1.5549999999999999</v>
      </c>
      <c r="C23" s="14"/>
      <c r="D23" s="14"/>
      <c r="E23" s="14"/>
      <c r="F23" s="14"/>
      <c r="G23" s="14"/>
      <c r="H23" s="8"/>
      <c r="I23" s="8">
        <v>1</v>
      </c>
      <c r="J23" s="14">
        <v>1.5695000000000001</v>
      </c>
      <c r="K23" s="8">
        <v>1.5394999999999999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 x14ac:dyDescent="0.3">
      <c r="A24" s="38" t="s">
        <v>105</v>
      </c>
      <c r="B24" s="8">
        <f>ECOA_10_10_24_RawData!E57</f>
        <v>1.298</v>
      </c>
      <c r="C24" s="14">
        <f>AVERAGE(B24,B25)</f>
        <v>1.2989999999999999</v>
      </c>
      <c r="D24" s="14">
        <f>100*(STDEV(B24,B25)/C24)</f>
        <v>0.10886940433973027</v>
      </c>
      <c r="E24" s="14">
        <f>C24-$C$2</f>
        <v>1.2514999999999998</v>
      </c>
      <c r="F24" s="13">
        <f>(E24-$L$10)/$L$9</f>
        <v>247459.99999999994</v>
      </c>
      <c r="G24" s="13">
        <f>F24/2</f>
        <v>123729.99999999997</v>
      </c>
      <c r="H24" s="6"/>
      <c r="I24" s="8">
        <v>0.5</v>
      </c>
      <c r="J24" s="8">
        <v>1.2989999999999999</v>
      </c>
      <c r="K24" s="8">
        <v>1.7229999999999999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 x14ac:dyDescent="0.3">
      <c r="A25" s="14"/>
      <c r="B25" s="8">
        <f>ECOA_10_10_24_RawData!E58</f>
        <v>1.3</v>
      </c>
      <c r="C25" s="14"/>
      <c r="D25" s="14"/>
      <c r="E25" s="14"/>
      <c r="F25" s="14"/>
      <c r="G25" s="14"/>
      <c r="H25" s="6"/>
      <c r="I25" s="8">
        <v>0.25</v>
      </c>
      <c r="J25" s="8">
        <v>0.87250000000000005</v>
      </c>
      <c r="K25" s="8">
        <v>1.0230000000000001</v>
      </c>
      <c r="L25" s="8"/>
      <c r="M25" s="8"/>
      <c r="N25" s="8">
        <v>3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 x14ac:dyDescent="0.3">
      <c r="A26" s="38" t="s">
        <v>106</v>
      </c>
      <c r="B26" s="8">
        <f>ECOA_10_10_24_RawData!E59</f>
        <v>0.879</v>
      </c>
      <c r="C26" s="14">
        <f>AVERAGE(B26,B27)</f>
        <v>0.87250000000000005</v>
      </c>
      <c r="D26" s="14">
        <f>100*(STDEV(B26,B27)/C26)</f>
        <v>1.0535688430286678</v>
      </c>
      <c r="E26" s="14">
        <f>C26-$C$2</f>
        <v>0.82500000000000007</v>
      </c>
      <c r="F26" s="13">
        <f>(E26-$L$10)/$L$9</f>
        <v>162160</v>
      </c>
      <c r="G26" s="13">
        <f>F26/4</f>
        <v>40540</v>
      </c>
      <c r="H26" s="6"/>
      <c r="I26" s="8">
        <v>0.125</v>
      </c>
      <c r="J26" s="8">
        <v>0.51350000000000007</v>
      </c>
      <c r="K26" s="8">
        <v>0.72049999999999992</v>
      </c>
      <c r="L26" s="8"/>
      <c r="M26" s="8"/>
      <c r="N26" s="8">
        <v>1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 x14ac:dyDescent="0.3">
      <c r="A27" s="14"/>
      <c r="B27" s="8">
        <f>ECOA_10_10_24_RawData!E60</f>
        <v>0.86599999999999999</v>
      </c>
      <c r="C27" s="14"/>
      <c r="D27" s="14"/>
      <c r="E27" s="14"/>
      <c r="F27" s="14"/>
      <c r="G27" s="14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 x14ac:dyDescent="0.3">
      <c r="A28" s="38" t="s">
        <v>107</v>
      </c>
      <c r="B28" s="8">
        <f>ECOA_10_10_24_RawData!E61</f>
        <v>0.51200000000000001</v>
      </c>
      <c r="C28" s="14">
        <f>AVERAGE(B28,B29)</f>
        <v>0.51350000000000007</v>
      </c>
      <c r="D28" s="14">
        <f>100*(STDEV(B28,B29)/C28)</f>
        <v>0.41311009611677596</v>
      </c>
      <c r="E28" s="14">
        <f>C28-$C$2</f>
        <v>0.46600000000000008</v>
      </c>
      <c r="F28" s="13">
        <f>(E28-$L$10)/$L$9</f>
        <v>90360.000000000015</v>
      </c>
      <c r="G28" s="13">
        <f>F28/8</f>
        <v>11295.000000000002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 x14ac:dyDescent="0.3">
      <c r="A29" s="13"/>
      <c r="B29" s="8">
        <f>ECOA_10_10_24_RawData!E62</f>
        <v>0.51500000000000001</v>
      </c>
      <c r="C29" s="13"/>
      <c r="D29" s="13"/>
      <c r="E29" s="13"/>
      <c r="F29" s="13"/>
      <c r="G29" s="13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 x14ac:dyDescent="0.3">
      <c r="A30" s="43">
        <v>3.2</v>
      </c>
      <c r="B30" s="8">
        <f>ECOA_10_10_24_RawData!E63</f>
        <v>1.621</v>
      </c>
      <c r="C30" s="13">
        <f>AVERAGE(B30,B31)</f>
        <v>1.6015000000000001</v>
      </c>
      <c r="D30" s="13">
        <f>100*(STDEV(B30,B31)/C30)</f>
        <v>1.7219584431017982</v>
      </c>
      <c r="E30" s="13">
        <f>C30-$C$2</f>
        <v>1.554</v>
      </c>
      <c r="F30" s="13">
        <f>(E30-$L$10)/$L$9</f>
        <v>307960</v>
      </c>
      <c r="G30" s="13">
        <f>F30</f>
        <v>307960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 x14ac:dyDescent="0.3">
      <c r="A31" s="13"/>
      <c r="B31" s="8">
        <f>ECOA_10_10_24_RawData!E64</f>
        <v>1.5820000000000001</v>
      </c>
      <c r="C31" s="13"/>
      <c r="D31" s="13"/>
      <c r="E31" s="13"/>
      <c r="F31" s="13"/>
      <c r="G31" s="13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 x14ac:dyDescent="0.3">
      <c r="A32" s="44">
        <v>5.2</v>
      </c>
      <c r="B32" s="8">
        <f>ECOA_10_10_24_RawData!E65</f>
        <v>1.482</v>
      </c>
      <c r="C32" s="13">
        <f>AVERAGE(B32,B33)</f>
        <v>1.1955</v>
      </c>
      <c r="D32" s="40">
        <f>100*(STDEV(B32,B33)/C32)</f>
        <v>33.891441708062928</v>
      </c>
      <c r="E32" s="13">
        <f>C32-$C$2</f>
        <v>1.1479999999999999</v>
      </c>
      <c r="F32" s="13">
        <f>(E32-$L$10)/$L$9</f>
        <v>226759.99999999997</v>
      </c>
      <c r="G32" s="13">
        <f>F32</f>
        <v>226759.99999999997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 x14ac:dyDescent="0.3">
      <c r="A33" s="13"/>
      <c r="B33" s="8">
        <f>ECOA_10_10_24_RawData!E66</f>
        <v>0.90900000000000003</v>
      </c>
      <c r="C33" s="13"/>
      <c r="D33" s="13"/>
      <c r="E33" s="13"/>
      <c r="F33" s="13"/>
      <c r="G33" s="13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 x14ac:dyDescent="0.3"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 x14ac:dyDescent="0.3">
      <c r="A35" s="35" t="s">
        <v>123</v>
      </c>
      <c r="B35" s="42" t="s">
        <v>124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 x14ac:dyDescent="0.3"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 x14ac:dyDescent="0.3"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 x14ac:dyDescent="0.3"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 x14ac:dyDescent="0.3"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 x14ac:dyDescent="0.3"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 x14ac:dyDescent="0.3"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 x14ac:dyDescent="0.3"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 x14ac:dyDescent="0.3"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 x14ac:dyDescent="0.3"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 x14ac:dyDescent="0.3"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 x14ac:dyDescent="0.3"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 x14ac:dyDescent="0.3"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 x14ac:dyDescent="0.3"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8:27" ht="15.75" customHeight="1" x14ac:dyDescent="0.3"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8:27" ht="15.75" customHeight="1" x14ac:dyDescent="0.3"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8:27" ht="15.75" customHeight="1" x14ac:dyDescent="0.3"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8:27" ht="15.75" customHeight="1" x14ac:dyDescent="0.3"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8:27" ht="15.75" customHeight="1" x14ac:dyDescent="0.3"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8:27" ht="15.75" customHeight="1" x14ac:dyDescent="0.3"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8:27" ht="15.75" customHeight="1" x14ac:dyDescent="0.3"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8:27" ht="15.75" customHeight="1" x14ac:dyDescent="0.3"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8:27" ht="15.75" customHeight="1" x14ac:dyDescent="0.3"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8:27" ht="15.75" customHeight="1" x14ac:dyDescent="0.3"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7"/>
    </row>
    <row r="59" spans="8:27" ht="15.75" customHeight="1" x14ac:dyDescent="0.3"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7"/>
    </row>
    <row r="60" spans="8:27" ht="15.75" customHeight="1" x14ac:dyDescent="0.3"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8:27" ht="15.75" customHeight="1" x14ac:dyDescent="0.3"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8:27" ht="15.75" customHeight="1" x14ac:dyDescent="0.3"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8:27" ht="15.75" customHeight="1" x14ac:dyDescent="0.3"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8:27" ht="15.75" customHeight="1" x14ac:dyDescent="0.3"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8:26" ht="15.75" customHeight="1" x14ac:dyDescent="0.3"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8:26" ht="15.75" customHeight="1" x14ac:dyDescent="0.3"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8:26" ht="15.75" customHeight="1" x14ac:dyDescent="0.3"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8:26" ht="15.75" customHeight="1" x14ac:dyDescent="0.3"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8:26" ht="15.75" customHeight="1" x14ac:dyDescent="0.3"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8:26" ht="15.75" customHeight="1" x14ac:dyDescent="0.3"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8:26" ht="15.75" customHeight="1" x14ac:dyDescent="0.3"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8:26" ht="15.75" customHeight="1" x14ac:dyDescent="0.3"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8:26" ht="15.75" customHeight="1" x14ac:dyDescent="0.3"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8:26" ht="15.75" customHeight="1" x14ac:dyDescent="0.3"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8:26" ht="15.75" customHeight="1" x14ac:dyDescent="0.3"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8:26" ht="15.75" customHeight="1" x14ac:dyDescent="0.3"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8:26" ht="15.75" customHeight="1" x14ac:dyDescent="0.3"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8:26" ht="15.75" customHeight="1" x14ac:dyDescent="0.3"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8:26" ht="15.75" customHeight="1" x14ac:dyDescent="0.3"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8:26" ht="15.75" customHeight="1" x14ac:dyDescent="0.3"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8:26" ht="15.75" customHeight="1" x14ac:dyDescent="0.3"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8:26" ht="15.75" customHeight="1" x14ac:dyDescent="0.3"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8:26" ht="15.75" customHeight="1" x14ac:dyDescent="0.3"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8:26" ht="15.75" customHeight="1" x14ac:dyDescent="0.3"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8:26" ht="15.75" customHeight="1" x14ac:dyDescent="0.3"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8:26" ht="15.75" customHeight="1" x14ac:dyDescent="0.3"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8:26" ht="15.75" customHeight="1" x14ac:dyDescent="0.3"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8:26" ht="15.75" customHeight="1" x14ac:dyDescent="0.3"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8:26" ht="15.75" customHeight="1" x14ac:dyDescent="0.3"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8:26" ht="15.75" customHeight="1" x14ac:dyDescent="0.3"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8:26" ht="15.75" customHeight="1" x14ac:dyDescent="0.3"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8:26" ht="15.75" customHeight="1" x14ac:dyDescent="0.3"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8:26" ht="15.75" customHeight="1" x14ac:dyDescent="0.3"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8:26" ht="15.75" customHeight="1" x14ac:dyDescent="0.3"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8:26" ht="15.75" customHeight="1" x14ac:dyDescent="0.3"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8:26" ht="15.75" customHeight="1" x14ac:dyDescent="0.3"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</row>
    <row r="97" spans="1:26" ht="15.75" customHeight="1" x14ac:dyDescent="0.3"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</row>
    <row r="98" spans="1:26" ht="15.75" customHeight="1" x14ac:dyDescent="0.3"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 x14ac:dyDescent="0.3"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 x14ac:dyDescent="0.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 x14ac:dyDescent="0.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 x14ac:dyDescent="0.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 x14ac:dyDescent="0.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 x14ac:dyDescent="0.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 x14ac:dyDescent="0.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 x14ac:dyDescent="0.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 x14ac:dyDescent="0.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 x14ac:dyDescent="0.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 x14ac:dyDescent="0.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 x14ac:dyDescent="0.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 x14ac:dyDescent="0.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 x14ac:dyDescent="0.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 x14ac:dyDescent="0.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 x14ac:dyDescent="0.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 x14ac:dyDescent="0.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 x14ac:dyDescent="0.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 x14ac:dyDescent="0.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 x14ac:dyDescent="0.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 x14ac:dyDescent="0.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 x14ac:dyDescent="0.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 x14ac:dyDescent="0.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 x14ac:dyDescent="0.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 x14ac:dyDescent="0.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 x14ac:dyDescent="0.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 x14ac:dyDescent="0.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 x14ac:dyDescent="0.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 x14ac:dyDescent="0.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 x14ac:dyDescent="0.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 x14ac:dyDescent="0.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 x14ac:dyDescent="0.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 x14ac:dyDescent="0.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 x14ac:dyDescent="0.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 x14ac:dyDescent="0.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 x14ac:dyDescent="0.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 x14ac:dyDescent="0.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 x14ac:dyDescent="0.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 x14ac:dyDescent="0.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 x14ac:dyDescent="0.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 x14ac:dyDescent="0.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 x14ac:dyDescent="0.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 x14ac:dyDescent="0.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 x14ac:dyDescent="0.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 x14ac:dyDescent="0.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 x14ac:dyDescent="0.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 x14ac:dyDescent="0.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 x14ac:dyDescent="0.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 x14ac:dyDescent="0.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 x14ac:dyDescent="0.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 x14ac:dyDescent="0.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 x14ac:dyDescent="0.3">
      <c r="A212" s="8"/>
      <c r="B212" s="8"/>
      <c r="C212" s="8"/>
      <c r="D212" s="8"/>
      <c r="E212" s="8"/>
      <c r="F212" s="8"/>
      <c r="G212" s="8"/>
      <c r="H212" s="8"/>
      <c r="I212" s="8"/>
      <c r="J212" s="7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 x14ac:dyDescent="0.3">
      <c r="A213" s="8"/>
      <c r="B213" s="8"/>
      <c r="C213" s="8"/>
      <c r="D213" s="8"/>
      <c r="E213" s="8"/>
      <c r="F213" s="8"/>
      <c r="G213" s="8"/>
      <c r="H213" s="8"/>
      <c r="I213" s="8"/>
      <c r="J213" s="7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 x14ac:dyDescent="0.3">
      <c r="A214" s="8"/>
      <c r="B214" s="8"/>
      <c r="C214" s="8"/>
      <c r="D214" s="8"/>
      <c r="E214" s="8"/>
      <c r="F214" s="8"/>
      <c r="G214" s="8"/>
      <c r="H214" s="8"/>
      <c r="I214" s="8"/>
      <c r="J214" s="7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 x14ac:dyDescent="0.3">
      <c r="A215" s="8"/>
      <c r="B215" s="8"/>
      <c r="C215" s="8"/>
      <c r="D215" s="8"/>
      <c r="E215" s="8"/>
      <c r="F215" s="8"/>
      <c r="G215" s="8"/>
      <c r="H215" s="8"/>
      <c r="I215" s="8"/>
      <c r="J215" s="7"/>
      <c r="K215" s="7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 x14ac:dyDescent="0.3">
      <c r="A216" s="8"/>
      <c r="B216" s="8"/>
      <c r="C216" s="8"/>
      <c r="D216" s="8"/>
      <c r="E216" s="8"/>
      <c r="F216" s="8"/>
      <c r="G216" s="8"/>
      <c r="H216" s="8"/>
      <c r="I216" s="8"/>
      <c r="J216" s="7"/>
      <c r="K216" s="7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 x14ac:dyDescent="0.3">
      <c r="A217" s="8"/>
      <c r="B217" s="8"/>
      <c r="C217" s="8"/>
      <c r="D217" s="8"/>
      <c r="E217" s="8"/>
      <c r="F217" s="8"/>
      <c r="G217" s="8"/>
      <c r="H217" s="8"/>
      <c r="I217" s="8"/>
      <c r="J217" s="7"/>
      <c r="K217" s="7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 x14ac:dyDescent="0.3">
      <c r="A218" s="8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3">
      <c r="A219" s="8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25"/>
    <row r="299" spans="1:26" ht="15.75" customHeight="1" x14ac:dyDescent="0.25"/>
    <row r="300" spans="1:26" ht="15.75" customHeight="1" x14ac:dyDescent="0.25"/>
    <row r="301" spans="1:26" ht="15.75" customHeight="1" x14ac:dyDescent="0.25"/>
    <row r="302" spans="1:26" ht="15.75" customHeight="1" x14ac:dyDescent="0.25"/>
    <row r="303" spans="1:26" ht="15.75" customHeight="1" x14ac:dyDescent="0.25"/>
    <row r="304" spans="1:26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E12:E84" xr:uid="{00000000-0009-0000-0000-000007000000}"/>
  <mergeCells count="1">
    <mergeCell ref="K3:L3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Spreadsheet</vt:lpstr>
      <vt:lpstr>10_29_24_RawData_Plate1</vt:lpstr>
      <vt:lpstr>ECOA_10_10_24_RawData</vt:lpstr>
      <vt:lpstr>ECOA_10_10_24_Optimization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Amer</dc:creator>
  <cp:lastModifiedBy>Ali Amer</cp:lastModifiedBy>
  <dcterms:created xsi:type="dcterms:W3CDTF">2024-10-08T19:20:37Z</dcterms:created>
  <dcterms:modified xsi:type="dcterms:W3CDTF">2025-04-08T22:09:20Z</dcterms:modified>
</cp:coreProperties>
</file>